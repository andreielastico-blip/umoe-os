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1 - UMOE\Historico Umoe\Plano Diretor\Reestruturação UMOE\"/>
    </mc:Choice>
  </mc:AlternateContent>
  <xr:revisionPtr revIDLastSave="0" documentId="8_{26573AEB-FD50-466E-8024-23F5CA85F69D}" xr6:coauthVersionLast="47" xr6:coauthVersionMax="47" xr10:uidLastSave="{00000000-0000-0000-0000-000000000000}"/>
  <bookViews>
    <workbookView xWindow="-110" yWindow="-110" windowWidth="19420" windowHeight="11500" xr2:uid="{76316C1C-3433-43DB-BB7B-DD4077EFF04D}"/>
  </bookViews>
  <sheets>
    <sheet name="Apresentação Gerencial" sheetId="1" r:id="rId1"/>
    <sheet name="🎯 Dashboard" sheetId="2" r:id="rId2"/>
    <sheet name="📑 Resumo Diretoria" sheetId="3" r:id="rId3"/>
    <sheet name="🖥️ Deck Slide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7" i="1" l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B112" i="4"/>
  <c r="G126" i="4"/>
  <c r="G125" i="4"/>
  <c r="G124" i="4"/>
  <c r="D127" i="4"/>
  <c r="D126" i="4"/>
  <c r="D125" i="4"/>
  <c r="D124" i="4"/>
  <c r="N25" i="4"/>
  <c r="J25" i="4"/>
  <c r="F25" i="4"/>
  <c r="C25" i="4"/>
  <c r="F14" i="3"/>
  <c r="F13" i="3"/>
  <c r="F12" i="3"/>
  <c r="F11" i="3"/>
  <c r="F10" i="3"/>
  <c r="F9" i="3"/>
  <c r="C14" i="3"/>
  <c r="C13" i="3"/>
  <c r="C12" i="3"/>
  <c r="C11" i="3"/>
  <c r="C10" i="3"/>
  <c r="F60" i="2"/>
  <c r="F59" i="2"/>
  <c r="F58" i="2"/>
  <c r="H43" i="2"/>
  <c r="I43" i="2"/>
  <c r="J43" i="2"/>
  <c r="H44" i="2"/>
  <c r="I44" i="2"/>
  <c r="J44" i="2"/>
  <c r="H45" i="2"/>
  <c r="I45" i="2"/>
  <c r="J45" i="2"/>
  <c r="H46" i="2"/>
  <c r="I46" i="2"/>
  <c r="J46" i="2"/>
  <c r="H47" i="2"/>
  <c r="I47" i="2"/>
  <c r="J47" i="2"/>
  <c r="H48" i="2"/>
  <c r="I48" i="2"/>
  <c r="J48" i="2"/>
  <c r="H49" i="2"/>
  <c r="I49" i="2"/>
  <c r="J49" i="2"/>
  <c r="H50" i="2"/>
  <c r="I50" i="2"/>
  <c r="J50" i="2"/>
  <c r="H51" i="2"/>
  <c r="I51" i="2"/>
  <c r="J51" i="2"/>
  <c r="H52" i="2"/>
  <c r="I52" i="2"/>
  <c r="J52" i="2"/>
  <c r="H53" i="2"/>
  <c r="I53" i="2"/>
  <c r="J53" i="2"/>
  <c r="H54" i="2"/>
  <c r="I54" i="2"/>
  <c r="J54" i="2"/>
  <c r="H55" i="2"/>
  <c r="I55" i="2"/>
  <c r="J55" i="2"/>
  <c r="J42" i="2"/>
  <c r="I42" i="2"/>
  <c r="H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F42" i="2"/>
  <c r="E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C42" i="2"/>
  <c r="B42" i="2"/>
  <c r="E7" i="2"/>
  <c r="K6" i="2"/>
  <c r="H6" i="2"/>
  <c r="E6" i="2"/>
  <c r="B6" i="2"/>
  <c r="C127" i="1"/>
  <c r="C124" i="1"/>
  <c r="C123" i="1"/>
  <c r="C122" i="1"/>
  <c r="C121" i="1"/>
  <c r="C120" i="1"/>
  <c r="C119" i="1"/>
  <c r="C125" i="1" s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17" i="1" s="1"/>
  <c r="J100" i="1"/>
  <c r="I100" i="1"/>
  <c r="K99" i="1"/>
  <c r="J99" i="1"/>
  <c r="I99" i="1"/>
  <c r="H99" i="1"/>
  <c r="G99" i="1"/>
  <c r="F99" i="1"/>
  <c r="D99" i="1"/>
  <c r="C99" i="1"/>
  <c r="K98" i="1"/>
  <c r="J98" i="1"/>
  <c r="I98" i="1"/>
  <c r="H98" i="1"/>
  <c r="G98" i="1"/>
  <c r="F98" i="1"/>
  <c r="C98" i="1"/>
  <c r="K97" i="1"/>
  <c r="J97" i="1"/>
  <c r="I97" i="1"/>
  <c r="H97" i="1"/>
  <c r="G97" i="1"/>
  <c r="F97" i="1"/>
  <c r="D97" i="1"/>
  <c r="C97" i="1"/>
  <c r="K96" i="1"/>
  <c r="J96" i="1"/>
  <c r="I96" i="1"/>
  <c r="H96" i="1"/>
  <c r="G96" i="1"/>
  <c r="F96" i="1"/>
  <c r="D96" i="1"/>
  <c r="C96" i="1"/>
  <c r="K95" i="1"/>
  <c r="K100" i="1" s="1"/>
  <c r="J95" i="1"/>
  <c r="I95" i="1"/>
  <c r="H95" i="1"/>
  <c r="G95" i="1"/>
  <c r="F95" i="1"/>
  <c r="D95" i="1"/>
  <c r="C95" i="1"/>
  <c r="K94" i="1"/>
  <c r="J94" i="1"/>
  <c r="I94" i="1"/>
  <c r="H94" i="1"/>
  <c r="G94" i="1"/>
  <c r="F94" i="1"/>
  <c r="D94" i="1"/>
  <c r="C94" i="1"/>
  <c r="K93" i="1"/>
  <c r="J93" i="1"/>
  <c r="I93" i="1"/>
  <c r="H93" i="1"/>
  <c r="H100" i="1" s="1"/>
  <c r="G93" i="1"/>
  <c r="G100" i="1" s="1"/>
  <c r="F93" i="1"/>
  <c r="F100" i="1" s="1"/>
  <c r="D93" i="1"/>
  <c r="C93" i="1"/>
  <c r="C100" i="1" s="1"/>
  <c r="J84" i="1"/>
  <c r="F84" i="1"/>
  <c r="D84" i="1"/>
  <c r="B84" i="1"/>
  <c r="J83" i="1"/>
  <c r="I83" i="1"/>
  <c r="H83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I84" i="1" s="1"/>
  <c r="H71" i="1"/>
  <c r="H84" i="1" s="1"/>
  <c r="H27" i="1"/>
  <c r="G27" i="1"/>
  <c r="F27" i="1"/>
  <c r="E27" i="1"/>
  <c r="D27" i="1"/>
  <c r="C27" i="1"/>
  <c r="G26" i="1"/>
  <c r="F26" i="1"/>
  <c r="E26" i="1"/>
  <c r="D26" i="1"/>
  <c r="C26" i="1"/>
  <c r="H26" i="1" s="1"/>
  <c r="H25" i="1"/>
  <c r="G25" i="1"/>
  <c r="F25" i="1"/>
  <c r="E25" i="1"/>
  <c r="D25" i="1"/>
  <c r="C25" i="1"/>
  <c r="G24" i="1"/>
  <c r="F24" i="1"/>
  <c r="E24" i="1"/>
  <c r="D24" i="1"/>
  <c r="C24" i="1"/>
  <c r="H24" i="1" s="1"/>
  <c r="H23" i="1"/>
  <c r="G23" i="1"/>
  <c r="F23" i="1"/>
  <c r="E23" i="1"/>
  <c r="D23" i="1"/>
  <c r="C23" i="1"/>
  <c r="G22" i="1"/>
  <c r="F22" i="1"/>
  <c r="E22" i="1"/>
  <c r="D22" i="1"/>
  <c r="C22" i="1"/>
  <c r="H22" i="1" s="1"/>
  <c r="H21" i="1"/>
  <c r="G21" i="1"/>
  <c r="F21" i="1"/>
  <c r="E21" i="1"/>
  <c r="D21" i="1"/>
  <c r="C21" i="1"/>
  <c r="G20" i="1"/>
  <c r="F20" i="1"/>
  <c r="E20" i="1"/>
  <c r="D20" i="1"/>
  <c r="C20" i="1"/>
  <c r="H20" i="1" s="1"/>
  <c r="H19" i="1"/>
  <c r="G19" i="1"/>
  <c r="F19" i="1"/>
  <c r="E19" i="1"/>
  <c r="D19" i="1"/>
  <c r="C19" i="1"/>
  <c r="G18" i="1"/>
  <c r="F18" i="1"/>
  <c r="E18" i="1"/>
  <c r="D18" i="1"/>
  <c r="C18" i="1"/>
  <c r="H18" i="1" s="1"/>
  <c r="H17" i="1"/>
  <c r="G17" i="1"/>
  <c r="F17" i="1"/>
  <c r="E17" i="1"/>
  <c r="D17" i="1"/>
  <c r="C17" i="1"/>
  <c r="G16" i="1"/>
  <c r="G28" i="1" s="1"/>
  <c r="F16" i="1"/>
  <c r="F28" i="1" s="1"/>
  <c r="E16" i="1"/>
  <c r="E28" i="1" s="1"/>
  <c r="D16" i="1"/>
  <c r="D28" i="1" s="1"/>
  <c r="C16" i="1"/>
  <c r="H16" i="1" s="1"/>
  <c r="H15" i="1"/>
  <c r="G15" i="1"/>
  <c r="F15" i="1"/>
  <c r="E15" i="1"/>
  <c r="D15" i="1"/>
  <c r="C15" i="1"/>
  <c r="C11" i="1"/>
  <c r="C10" i="1"/>
  <c r="H9" i="1"/>
  <c r="I9" i="1" s="1"/>
  <c r="E9" i="1"/>
  <c r="D9" i="1"/>
  <c r="C9" i="1"/>
  <c r="B9" i="1"/>
  <c r="H8" i="1"/>
  <c r="I8" i="1" s="1"/>
  <c r="D8" i="1"/>
  <c r="E8" i="1" s="1"/>
  <c r="C8" i="1"/>
  <c r="B8" i="1"/>
  <c r="H7" i="1"/>
  <c r="H10" i="1" s="1"/>
  <c r="I10" i="1" s="1"/>
  <c r="E7" i="1"/>
  <c r="D7" i="1"/>
  <c r="C7" i="1"/>
  <c r="B7" i="1"/>
  <c r="H6" i="1"/>
  <c r="I6" i="1" s="1"/>
  <c r="D6" i="1"/>
  <c r="E6" i="1" s="1"/>
  <c r="C6" i="1"/>
  <c r="B6" i="1"/>
  <c r="I7" i="1" l="1"/>
  <c r="C28" i="1"/>
  <c r="H28" i="1" s="1"/>
</calcChain>
</file>

<file path=xl/sharedStrings.xml><?xml version="1.0" encoding="utf-8"?>
<sst xmlns="http://schemas.openxmlformats.org/spreadsheetml/2006/main" count="521" uniqueCount="318">
  <si>
    <t>📊 APRESENTAÇÃO GERENCIAL | MATRIZ ORGANOGRAMA EXECUTIVA</t>
  </si>
  <si>
    <t>Análise Consolidada de Headcount | Agrícola + Manutenção Automotiva | Reduções Possível e Recomendada</t>
  </si>
  <si>
    <t>1️⃣ RESUMO GERAL DO ORGANOGRAMA</t>
  </si>
  <si>
    <t>INDICADOR</t>
  </si>
  <si>
    <t>AGRÍCOLA</t>
  </si>
  <si>
    <t>MANUTENÇÃO</t>
  </si>
  <si>
    <t>TOTAL</t>
  </si>
  <si>
    <t>% TOTAL</t>
  </si>
  <si>
    <t>CRITICIDADE</t>
  </si>
  <si>
    <t>HC</t>
  </si>
  <si>
    <t>HC Total</t>
  </si>
  <si>
    <t>🟢 Crítica</t>
  </si>
  <si>
    <t>HC Crítico</t>
  </si>
  <si>
    <t>🟡 Alto</t>
  </si>
  <si>
    <t>HC Vinc. Equipamento</t>
  </si>
  <si>
    <t>🟠 Média</t>
  </si>
  <si>
    <t>Redução Possível</t>
  </si>
  <si>
    <t>⚪ Baixa</t>
  </si>
  <si>
    <t>Redução Recomendada</t>
  </si>
  <si>
    <t>4,2%</t>
  </si>
  <si>
    <t>HC Pós Redução Recom.</t>
  </si>
  <si>
    <t>95,8%</t>
  </si>
  <si>
    <t>2️⃣ RESUMO POR SETOR E RESPONSÁVEL</t>
  </si>
  <si>
    <t>SETOR</t>
  </si>
  <si>
    <t>RESPONSÁVEL</t>
  </si>
  <si>
    <t>HC CRÍTICO</t>
  </si>
  <si>
    <t>HC VINC. EQUIP.</t>
  </si>
  <si>
    <t>RED. POSSÍVEL</t>
  </si>
  <si>
    <t>RED. RECOM.</t>
  </si>
  <si>
    <t>% HC</t>
  </si>
  <si>
    <t>Agrícola</t>
  </si>
  <si>
    <t>Flávio</t>
  </si>
  <si>
    <t>Elias</t>
  </si>
  <si>
    <t>Rogério</t>
  </si>
  <si>
    <t>Ronaldo</t>
  </si>
  <si>
    <t>Helena</t>
  </si>
  <si>
    <t>Laércio</t>
  </si>
  <si>
    <t>Pedro</t>
  </si>
  <si>
    <t>Everton</t>
  </si>
  <si>
    <t>Devanir</t>
  </si>
  <si>
    <t>Manutenção</t>
  </si>
  <si>
    <t>Paulo</t>
  </si>
  <si>
    <t>Adriano</t>
  </si>
  <si>
    <t>Hugo</t>
  </si>
  <si>
    <t>Luiz Jr.</t>
  </si>
  <si>
    <t>-</t>
  </si>
  <si>
    <t>3️⃣ RESUMO EXECUTIVO | REDUÇÃO POR FUNÇÃO</t>
  </si>
  <si>
    <t>FUNÇÃO</t>
  </si>
  <si>
    <t>HC TOTAL</t>
  </si>
  <si>
    <t>% POSS.</t>
  </si>
  <si>
    <t>% RECOM.</t>
  </si>
  <si>
    <t>OBS/JUSTIFICATIVA</t>
  </si>
  <si>
    <t>Coordenação</t>
  </si>
  <si>
    <t>1,4%</t>
  </si>
  <si>
    <t>0,0%</t>
  </si>
  <si>
    <t>Função estratégica - NÃO reduzir</t>
  </si>
  <si>
    <t>Gestor</t>
  </si>
  <si>
    <t>0,7%</t>
  </si>
  <si>
    <t>28,6%</t>
  </si>
  <si>
    <t>Gestão operacional crítica</t>
  </si>
  <si>
    <t>Trainee</t>
  </si>
  <si>
    <t>0,3%</t>
  </si>
  <si>
    <t>66,7%</t>
  </si>
  <si>
    <t>Formação de líderes - avaliar necessidade</t>
  </si>
  <si>
    <t>Líder</t>
  </si>
  <si>
    <t>7,0%</t>
  </si>
  <si>
    <t>26,5%</t>
  </si>
  <si>
    <t>19,1%</t>
  </si>
  <si>
    <t>Supervisão direta - reduzir com cautela</t>
  </si>
  <si>
    <t>Operador</t>
  </si>
  <si>
    <t>29,7%</t>
  </si>
  <si>
    <t>11,1%</t>
  </si>
  <si>
    <t>🔒 PROTEGIDO - Operação direta equipamentos</t>
  </si>
  <si>
    <t>Motorista</t>
  </si>
  <si>
    <t>9,2%</t>
  </si>
  <si>
    <t>9,0%</t>
  </si>
  <si>
    <t>🔒 PROTEGIDO - Logística essencial</t>
  </si>
  <si>
    <t>Mecânico</t>
  </si>
  <si>
    <t>10,1%</t>
  </si>
  <si>
    <t>12,2%</t>
  </si>
  <si>
    <t>🔒 PROTEGIDO - Manutenção equipamentos</t>
  </si>
  <si>
    <t>Eletricista</t>
  </si>
  <si>
    <t>2,5%</t>
  </si>
  <si>
    <t>16,7%</t>
  </si>
  <si>
    <t>🔒 PROTEGIDO - Suporte elétrico crítico</t>
  </si>
  <si>
    <t>Auxiliar</t>
  </si>
  <si>
    <t>4,3%</t>
  </si>
  <si>
    <t>19,0%</t>
  </si>
  <si>
    <t>21,4%</t>
  </si>
  <si>
    <t>Apoio administrativo - pode otimizar</t>
  </si>
  <si>
    <t>Analista</t>
  </si>
  <si>
    <t>1,2%</t>
  </si>
  <si>
    <t>33,3%</t>
  </si>
  <si>
    <t>Funções analíticas - avaliar automação</t>
  </si>
  <si>
    <t>Rurais</t>
  </si>
  <si>
    <t>16,1%</t>
  </si>
  <si>
    <t>3,8%</t>
  </si>
  <si>
    <t>Mão de obra direta campo</t>
  </si>
  <si>
    <t>Brigada</t>
  </si>
  <si>
    <t>4,7%</t>
  </si>
  <si>
    <t>6,7%</t>
  </si>
  <si>
    <t>🔒 PROTEGIDO - Segurança/incêndio</t>
  </si>
  <si>
    <t>Qualidade</t>
  </si>
  <si>
    <t>3,5%</t>
  </si>
  <si>
    <t>🔒 PROTEGIDO - Controle qualidade</t>
  </si>
  <si>
    <t>Outros</t>
  </si>
  <si>
    <t>9,1%</t>
  </si>
  <si>
    <t>5,7%</t>
  </si>
  <si>
    <t>8,0%</t>
  </si>
  <si>
    <t>Funções de suporte diversas</t>
  </si>
  <si>
    <t>10,9%</t>
  </si>
  <si>
    <t>4️⃣ RESUMO EXECUTIVO | REDUÇÃO POR RESPONSÁVEL (COM VALORES)</t>
  </si>
  <si>
    <t>25,1%</t>
  </si>
  <si>
    <t>24,8%</t>
  </si>
  <si>
    <t>17,1%</t>
  </si>
  <si>
    <t>Colheita/CTTA - função crítica</t>
  </si>
  <si>
    <t>18,8%</t>
  </si>
  <si>
    <t>1,9%</t>
  </si>
  <si>
    <t>4,9%</t>
  </si>
  <si>
    <t>Tratos/Herbicida - baixa redução</t>
  </si>
  <si>
    <t>12,7%</t>
  </si>
  <si>
    <t>18,1%</t>
  </si>
  <si>
    <t>39,0%</t>
  </si>
  <si>
    <t>Preparo/Plantio - maior potencial</t>
  </si>
  <si>
    <t>12,4%</t>
  </si>
  <si>
    <t>2,9%</t>
  </si>
  <si>
    <t>2,4%</t>
  </si>
  <si>
    <t>Fertirrigação - operação crítica</t>
  </si>
  <si>
    <t>Qualidade - função protegida</t>
  </si>
  <si>
    <t>3,3%</t>
  </si>
  <si>
    <t>8,6%</t>
  </si>
  <si>
    <t>Irrigação - redução moderada</t>
  </si>
  <si>
    <t>1,0%</t>
  </si>
  <si>
    <t>Apoio administrativo</t>
  </si>
  <si>
    <t>Apoio operacional</t>
  </si>
  <si>
    <t>0,1%</t>
  </si>
  <si>
    <t>Parcerias - estratégico</t>
  </si>
  <si>
    <t>7,9%</t>
  </si>
  <si>
    <t>Colheita manutenção - crítico</t>
  </si>
  <si>
    <t>6,2%</t>
  </si>
  <si>
    <t>9,8%</t>
  </si>
  <si>
    <t>Apoio/Oficina - potencial moderado</t>
  </si>
  <si>
    <t>5,2%</t>
  </si>
  <si>
    <t>Borracharia/Lubrificação</t>
  </si>
  <si>
    <t>2,8%</t>
  </si>
  <si>
    <t>Tratos/Adubação - crítico</t>
  </si>
  <si>
    <t>5️⃣ RESUMO EXECUTIVO | REDUÇÃO POR FUNÇÃO (COM VALORES E %)</t>
  </si>
  <si>
    <t>SALÁRIO TOTAL</t>
  </si>
  <si>
    <t>INDENIZAÇÃO</t>
  </si>
  <si>
    <t>ECONOMIA ANUAL</t>
  </si>
  <si>
    <t>STATUS</t>
  </si>
  <si>
    <t>🔒</t>
  </si>
  <si>
    <t>⚠️</t>
  </si>
  <si>
    <t>✂️</t>
  </si>
  <si>
    <t>Formação - avaliar necessidade</t>
  </si>
  <si>
    <t>31,7%</t>
  </si>
  <si>
    <t>Supervisão - reduzir com cautela</t>
  </si>
  <si>
    <t>30,5%</t>
  </si>
  <si>
    <t>PROTEGIDO - Operação equipamentos</t>
  </si>
  <si>
    <t>7,6%</t>
  </si>
  <si>
    <t>PROTEGIDO - Logística essencial</t>
  </si>
  <si>
    <t>11,4%</t>
  </si>
  <si>
    <t>PROTEGIDO - Manutenção equipamentos</t>
  </si>
  <si>
    <t>PROTEGIDO - Suporte elétrico crítico</t>
  </si>
  <si>
    <t>22,0%</t>
  </si>
  <si>
    <t>Apoio administrativo - otimizar</t>
  </si>
  <si>
    <t>Funções analíticas - automação</t>
  </si>
  <si>
    <t>14,6%</t>
  </si>
  <si>
    <t>PROTEGIDO - Segurança/incêndio</t>
  </si>
  <si>
    <t>PROTEGIDO - Controle qualidade</t>
  </si>
  <si>
    <t>4,8%</t>
  </si>
  <si>
    <t>📋 LEGENDA: 🔒 Função Protegida | ✂️ Redução Aprovada | ⚠️ Avaliar com cautela | ECONOMIA = Custo evitado (salário + encargos) - Indenização</t>
  </si>
  <si>
    <t>6️⃣ PROPOSTA DE REDUÇÃO AGRÍCOLA E AUTOMOTIVA | CUSTOS, PRODUÇÃO E RECEITA</t>
  </si>
  <si>
    <t>Análise de Custos Evitados vs Impacto em Volume de Cana e Receita de Etanol</t>
  </si>
  <si>
    <t>ÁREA</t>
  </si>
  <si>
    <t>INICIATIVA</t>
  </si>
  <si>
    <t>CUSTOS EVITADOS</t>
  </si>
  <si>
    <t>HECTARES</t>
  </si>
  <si>
    <t>IMPACTO PROD.</t>
  </si>
  <si>
    <t>VOL. BAIXO</t>
  </si>
  <si>
    <t>VOL. MÉDIO</t>
  </si>
  <si>
    <t>VOL. ALTO</t>
  </si>
  <si>
    <t>RECEITA BAIXO</t>
  </si>
  <si>
    <t>RECEITA MÉDIO</t>
  </si>
  <si>
    <t>RECEITA ALTO</t>
  </si>
  <si>
    <t>AGR</t>
  </si>
  <si>
    <t>BIOL MICROGEO</t>
  </si>
  <si>
    <t>2 a 4 t/ha</t>
  </si>
  <si>
    <t>Menor risco - longo prazo</t>
  </si>
  <si>
    <t>FERT UREIA PROTEGIDA</t>
  </si>
  <si>
    <t>1,5 a 6 t/ha</t>
  </si>
  <si>
    <t>Subst. mineral por composto</t>
  </si>
  <si>
    <t>CORR CALCÁRIO DOLOMÍTICO</t>
  </si>
  <si>
    <t>5 t/ha</t>
  </si>
  <si>
    <t>Aplicação dobrada formação</t>
  </si>
  <si>
    <t>CORR DOLOGESSO 70%</t>
  </si>
  <si>
    <t>Áreas baixo TCH</t>
  </si>
  <si>
    <t>SERV. ENLEIRAMENTO</t>
  </si>
  <si>
    <t>3 a 4 t/ha</t>
  </si>
  <si>
    <t>Risco cigarrinha</t>
  </si>
  <si>
    <t>TRATOS SOQUEIRA (Consolidado)</t>
  </si>
  <si>
    <t>2-4 TCH / 1-2 ATR</t>
  </si>
  <si>
    <t>Nemat+Biol+Micros</t>
  </si>
  <si>
    <t>SERV. APLIC. FUNGICIDA</t>
  </si>
  <si>
    <t>2 TCH</t>
  </si>
  <si>
    <t>Otimizada c/ Broca</t>
  </si>
  <si>
    <t>SUBTOTAL AGR (C/ IMPACTO PRODUÇÃO)</t>
  </si>
  <si>
    <t>REDUÇÕES SEM IMPACTO EM PRODUÇÃO</t>
  </si>
  <si>
    <t>Licença BI</t>
  </si>
  <si>
    <t>Retirar Despesas Viagens</t>
  </si>
  <si>
    <t>Reestruturação PCM</t>
  </si>
  <si>
    <t>Contrato Bene (Geotec)</t>
  </si>
  <si>
    <t>Manter valor 2025</t>
  </si>
  <si>
    <t>Retirar licença RTX</t>
  </si>
  <si>
    <t>Redução IT pranchas</t>
  </si>
  <si>
    <t>Apenas 3 pranchas</t>
  </si>
  <si>
    <t>Integração Solinftec</t>
  </si>
  <si>
    <t>Solinftec nuvem</t>
  </si>
  <si>
    <t>Licença FME (Topografia)</t>
  </si>
  <si>
    <t>Atualização 2 anos</t>
  </si>
  <si>
    <t>Retirar km onibus Lay off</t>
  </si>
  <si>
    <t>Treinar na usina</t>
  </si>
  <si>
    <t>Retirar Micro onibus muda</t>
  </si>
  <si>
    <t>1 onibus jun-set</t>
  </si>
  <si>
    <t>Retirar Van irrigação</t>
  </si>
  <si>
    <t>Troca turno carro leve</t>
  </si>
  <si>
    <t>Terceiro transp. torta</t>
  </si>
  <si>
    <t>Retirar 4% reajuste</t>
  </si>
  <si>
    <t>SUBTOTAL AGR (SEM IMPACTO)</t>
  </si>
  <si>
    <t>AUTOMOTIVA</t>
  </si>
  <si>
    <t>AUT</t>
  </si>
  <si>
    <t>Redução 1 CAM Fertirrigação</t>
  </si>
  <si>
    <t>Impacto atendimento</t>
  </si>
  <si>
    <t>Redução 1 CAM Colheita Muda</t>
  </si>
  <si>
    <t>Redução 1 Veículo leve PPT</t>
  </si>
  <si>
    <t>Redução 8% Serv. Terceiros</t>
  </si>
  <si>
    <t>Redução 8% Gastos Pneus</t>
  </si>
  <si>
    <t>Compra carcaça usada</t>
  </si>
  <si>
    <t>Redução 5% Consumo lavador</t>
  </si>
  <si>
    <t>SUBTOTAL AUTOMOTIVA</t>
  </si>
  <si>
    <t>Total</t>
  </si>
  <si>
    <t>DASHBOARD EXECUTIVO</t>
  </si>
  <si>
    <t>Reestruturação de Headcount &amp; Custos | Agrícola + Manutenção Automotiva</t>
  </si>
  <si>
    <t>HEADCOUNT TOTAL</t>
  </si>
  <si>
    <t>colaboradores (Agrícola + Manutenção)</t>
  </si>
  <si>
    <t>REDUÇÃO RECOMENDADA</t>
  </si>
  <si>
    <t>ECONOMIA ANUAL RH</t>
  </si>
  <si>
    <t>custo evitado líquido (salários − indenizações)</t>
  </si>
  <si>
    <t>CUSTOS EVITADOS — INICIATIVAS</t>
  </si>
  <si>
    <t>agrícola + automotiva</t>
  </si>
  <si>
    <t>HEADCOUNT POR RESPONSÁVEL</t>
  </si>
  <si>
    <t>ECONOMIA ANUAL DE RH POR FUNÇÃO (R$)</t>
  </si>
  <si>
    <t>_dados: HC por responsável</t>
  </si>
  <si>
    <t>Responsável</t>
  </si>
  <si>
    <t>_dados: economia RH por função</t>
  </si>
  <si>
    <t>Função</t>
  </si>
  <si>
    <t>Economia (R$)</t>
  </si>
  <si>
    <t>_dados: redução por função</t>
  </si>
  <si>
    <t>Possível</t>
  </si>
  <si>
    <t>Recomendada</t>
  </si>
  <si>
    <t>REDUÇÃO POR FUNÇÃO: POSSÍVEL vs RECOMENDADA</t>
  </si>
  <si>
    <t>COMPOSIÇÃO DO HEADCOUNT</t>
  </si>
  <si>
    <t>_comp HC</t>
  </si>
  <si>
    <t>Pós-redução recomendada</t>
  </si>
  <si>
    <t>Redução recomendada</t>
  </si>
  <si>
    <t>Redução adicional possível</t>
  </si>
  <si>
    <t>RESUMO PARA DIRETORIA</t>
  </si>
  <si>
    <t>Reestruturação Agrícola + Manutenção Automotiva | Síntese e Recomendação</t>
  </si>
  <si>
    <t>CONTEXTO</t>
  </si>
  <si>
    <t>Análise consolidada de 967 colaboradores (754 Agrícola + 213 Manutenção). Do total, 732 são HC crítico (75,7%) e 654 estão vinculados a equipamentos. A proposta combina otimização de headcount com iniciativas agronômicas e automotivas de redução de custo.</t>
  </si>
  <si>
    <t>IMPACTO FINANCEIRO CONSOLIDADO</t>
  </si>
  <si>
    <t>Frente</t>
  </si>
  <si>
    <t>Valor Anual (R$)</t>
  </si>
  <si>
    <t>Tipo</t>
  </si>
  <si>
    <t>Economia anual de RH (líquida de indenizações)</t>
  </si>
  <si>
    <t>Custo evitado</t>
  </si>
  <si>
    <t>Custos evitados — iniciativas agrícolas (c/ impacto produção)</t>
  </si>
  <si>
    <t>Custos evitados — iniciativas agrícolas (sem impacto)</t>
  </si>
  <si>
    <t>Custos evitados — frota / automotiva</t>
  </si>
  <si>
    <t>TOTAL ANUAL DE GANHO POTENCIAL</t>
  </si>
  <si>
    <t>DECISÃO RECOMENDADA</t>
  </si>
  <si>
    <t>NÚMEROS-CHAVE DE HEADCOUNT</t>
  </si>
  <si>
    <t>Aprovar a redução recomendada de 41 posições (4,2% do HC), preservando 100% das funções protegidas (Operador, Motorista, Mecânico, Eletricista, Brigada, Qualidade) ligadas à operação direta de equipamentos. Maior potencial concentrado em Rogério (16) e nas funções Líder e Auxiliar. Avançar com as iniciativas agronômicas e de frota em paralelo.</t>
  </si>
  <si>
    <t>HC total</t>
  </si>
  <si>
    <t>HC crítico (75,7%)</t>
  </si>
  <si>
    <t>Vinculado a equipamento</t>
  </si>
  <si>
    <t>Redução possível</t>
  </si>
  <si>
    <t>HC pós-redução</t>
  </si>
  <si>
    <t>NOTA — RECEITA PROTEGIDA</t>
  </si>
  <si>
    <t>As iniciativas agrícolas com impacto em produtividade sustentam um ganho estimado de receita de etanol entre R$ 21,0 mi (cenário baixo) e R$ 43,5 mi (cenário alto), com R$ 32,2 mi no cenário médio — além dos custos evitados acima. Os ganhos de produtividade (TCH/ATR) reforçam o retorno do programa para muito além da redução de despesa.</t>
  </si>
  <si>
    <t>Fonte: aba 'Apresentação Gerencial' | Reestruturação Umoe.xlsb. Valores anuais.</t>
  </si>
  <si>
    <t>REESTRUTURAÇÃO 2025</t>
  </si>
  <si>
    <t>Agrícola + Manutenção Automotiva  |  Apresentação Gerencial Executiva</t>
  </si>
  <si>
    <t>Headcount • Redução de Custos • Receita Protegida</t>
  </si>
  <si>
    <t>1. PANORAMA GERAL</t>
  </si>
  <si>
    <t>Headcount total</t>
  </si>
  <si>
    <t>Redução recomendada (4,2%)</t>
  </si>
  <si>
    <t>Economia anual de RH</t>
  </si>
  <si>
    <t>Ganho total potencial/ano</t>
  </si>
  <si>
    <t>•  754 colaboradores na operação Agrícola e 213 na Manutenção Automotiva</t>
  </si>
  <si>
    <t>•  732 posições (75,7%) classificadas como HC crítico; 654 vinculadas a equipamentos</t>
  </si>
  <si>
    <t>•  Redução possível de 105 posições; recomenda-se 41, preservando funções protegidas</t>
  </si>
  <si>
    <t>•  Programa combina otimização de pessoas + iniciativas agronômicas e de frota</t>
  </si>
  <si>
    <t>2. REDUÇÃO POR FUNÇÃO — POSSÍVEL vs RECOMENDADA</t>
  </si>
  <si>
    <t>3. ECONOMIA DE RH POR FUNÇÃO (R$/ANO)</t>
  </si>
  <si>
    <t>4. CUSTOS EVITADOS &amp; RECEITA PROTEGIDA</t>
  </si>
  <si>
    <t>R$</t>
  </si>
  <si>
    <t>RH (líquido)</t>
  </si>
  <si>
    <t>Agr c/ impacto</t>
  </si>
  <si>
    <t>Agr sem impacto</t>
  </si>
  <si>
    <t>Frota/Automotiva</t>
  </si>
  <si>
    <t>Cenário receita etanol</t>
  </si>
  <si>
    <t>Baixo</t>
  </si>
  <si>
    <t>Médio</t>
  </si>
  <si>
    <t>Alto</t>
  </si>
  <si>
    <t>CONCLUSÃO &amp; RECOMENDAÇÃO</t>
  </si>
  <si>
    <t>Aprovar 41 desligamentos recomendados (4,2%) + avançar com iniciativas agronômicas e de frota</t>
  </si>
  <si>
    <t>+ receita de etanol protegida estimada em R$ 32,2 mi/ano (cenário médio)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</si>
</sst>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#,#00%"/>
    <numFmt numFmtId="165" formatCode="\R&quot;R$&quot;\ #,##0"/>
    <numFmt numFmtId="166" formatCode="#,#00%\ &quot;do HC | possível: 105&quot;"/>
    <numFmt numFmtId="167" formatCode="&quot;R$ &quot;#,##0"/>
    <numFmt numFmtId="168" formatCode="&quot;Ganho total potencial: R$ &quot;#,##0&quot; / ano&quot;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26"/>
      <color rgb="FFFFFFFF"/>
      <name val="Calibri"/>
      <family val="2"/>
    </font>
    <font>
      <sz val="11"/>
      <color rgb="FFD9E1F2"/>
      <name val="Aptos Narrow"/>
      <family val="2"/>
      <scheme val="minor"/>
    </font>
    <font>
      <sz val="12"/>
      <color rgb="FFD9E1F2"/>
      <name val="Calibri"/>
      <family val="2"/>
    </font>
    <font>
      <b/>
      <sz val="10"/>
      <color rgb="FFFFFFFF"/>
      <name val="Aptos Narrow"/>
      <family val="2"/>
      <scheme val="minor"/>
    </font>
    <font>
      <b/>
      <sz val="26"/>
      <color rgb="FFFFFFFF"/>
      <name val="Aptos Narrow"/>
      <family val="2"/>
      <scheme val="minor"/>
    </font>
    <font>
      <i/>
      <sz val="8.5"/>
      <color rgb="FFE8EEF5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sz val="8"/>
      <color rgb="FFBFBFBF"/>
      <name val="Aptos Narrow"/>
      <family val="2"/>
      <scheme val="minor"/>
    </font>
    <font>
      <b/>
      <sz val="22"/>
      <color rgb="FFFFFFFF"/>
      <name val="Calibri"/>
      <family val="2"/>
    </font>
    <font>
      <sz val="10.5"/>
      <color rgb="FF404040"/>
      <name val="Aptos Narrow"/>
      <family val="2"/>
      <scheme val="minor"/>
    </font>
    <font>
      <b/>
      <sz val="11"/>
      <color rgb="FFC0504D"/>
      <name val="Aptos Narrow"/>
      <family val="2"/>
      <scheme val="minor"/>
    </font>
    <font>
      <sz val="10.5"/>
      <color rgb="FF7F5400"/>
      <name val="Aptos Narrow"/>
      <family val="2"/>
      <scheme val="minor"/>
    </font>
    <font>
      <i/>
      <sz val="8"/>
      <color rgb="FFA6A6A6"/>
      <name val="Aptos Narrow"/>
      <family val="2"/>
      <scheme val="minor"/>
    </font>
    <font>
      <b/>
      <sz val="40"/>
      <color rgb="FFFFFFFF"/>
      <name val="Aptos Narrow"/>
      <family val="2"/>
      <scheme val="minor"/>
    </font>
    <font>
      <sz val="15"/>
      <color rgb="FFD9E1F2"/>
      <name val="Aptos Narrow"/>
      <family val="2"/>
      <scheme val="minor"/>
    </font>
    <font>
      <i/>
      <sz val="12"/>
      <color rgb="FF9DC3E6"/>
      <name val="Aptos Narrow"/>
      <family val="2"/>
      <scheme val="minor"/>
    </font>
    <font>
      <b/>
      <sz val="30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sz val="12"/>
      <color rgb="FF404040"/>
      <name val="Aptos Narrow"/>
      <family val="2"/>
      <scheme val="minor"/>
    </font>
    <font>
      <sz val="14"/>
      <color rgb="FFD9E1F2"/>
      <name val="Aptos Narrow"/>
      <family val="2"/>
      <scheme val="minor"/>
    </font>
    <font>
      <b/>
      <sz val="22"/>
      <color rgb="FF70AD47"/>
      <name val="Aptos Narrow"/>
      <family val="2"/>
      <scheme val="minor"/>
    </font>
    <font>
      <sz val="8"/>
      <color rgb="FFD9D9D9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1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5C8A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1E7145"/>
        <bgColor indexed="64"/>
      </patternFill>
    </fill>
    <fill>
      <patternFill patternType="solid">
        <fgColor rgb="FFE36C09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BF3E7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center"/>
    </xf>
    <xf numFmtId="0" fontId="5" fillId="4" borderId="0" xfId="0" applyFont="1" applyFill="1"/>
    <xf numFmtId="0" fontId="5" fillId="5" borderId="0" xfId="0" applyFont="1" applyFill="1"/>
    <xf numFmtId="0" fontId="2" fillId="6" borderId="0" xfId="0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164" fontId="2" fillId="10" borderId="1" xfId="0" applyNumberFormat="1" applyFont="1" applyFill="1" applyBorder="1" applyAlignment="1">
      <alignment horizontal="center"/>
    </xf>
    <xf numFmtId="0" fontId="5" fillId="11" borderId="0" xfId="0" applyFont="1" applyFill="1"/>
    <xf numFmtId="0" fontId="2" fillId="12" borderId="1" xfId="0" applyFont="1" applyFill="1" applyBorder="1" applyAlignment="1">
      <alignment horizontal="center"/>
    </xf>
    <xf numFmtId="0" fontId="0" fillId="13" borderId="1" xfId="0" applyFill="1" applyBorder="1"/>
    <xf numFmtId="0" fontId="2" fillId="14" borderId="1" xfId="0" applyFont="1" applyFill="1" applyBorder="1"/>
    <xf numFmtId="0" fontId="2" fillId="14" borderId="1" xfId="0" applyFont="1" applyFill="1" applyBorder="1" applyAlignment="1">
      <alignment horizontal="center"/>
    </xf>
    <xf numFmtId="164" fontId="2" fillId="14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9" borderId="0" xfId="0" applyFont="1" applyFill="1"/>
    <xf numFmtId="0" fontId="0" fillId="9" borderId="0" xfId="0" applyFill="1" applyAlignment="1">
      <alignment horizontal="center"/>
    </xf>
    <xf numFmtId="0" fontId="0" fillId="9" borderId="0" xfId="0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9" fontId="6" fillId="2" borderId="0" xfId="0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15" borderId="1" xfId="0" applyFill="1" applyBorder="1"/>
    <xf numFmtId="0" fontId="0" fillId="15" borderId="1" xfId="0" applyFill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9" fontId="6" fillId="2" borderId="1" xfId="0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horizontal="center"/>
    </xf>
    <xf numFmtId="44" fontId="0" fillId="16" borderId="1" xfId="1" applyFont="1" applyFill="1" applyBorder="1" applyAlignment="1">
      <alignment horizontal="center"/>
    </xf>
    <xf numFmtId="44" fontId="0" fillId="16" borderId="1" xfId="1" applyFont="1" applyFill="1" applyBorder="1"/>
    <xf numFmtId="0" fontId="0" fillId="17" borderId="1" xfId="0" applyFill="1" applyBorder="1"/>
    <xf numFmtId="0" fontId="0" fillId="17" borderId="1" xfId="0" applyFill="1" applyBorder="1" applyAlignment="1">
      <alignment horizontal="center"/>
    </xf>
    <xf numFmtId="44" fontId="0" fillId="17" borderId="1" xfId="1" applyFont="1" applyFill="1" applyBorder="1" applyAlignment="1">
      <alignment horizontal="center"/>
    </xf>
    <xf numFmtId="44" fontId="0" fillId="17" borderId="1" xfId="1" applyFont="1" applyFill="1" applyBorder="1"/>
    <xf numFmtId="44" fontId="6" fillId="2" borderId="1" xfId="1" applyFont="1" applyFill="1" applyBorder="1" applyAlignment="1">
      <alignment horizontal="center"/>
    </xf>
    <xf numFmtId="44" fontId="6" fillId="2" borderId="1" xfId="1" applyFont="1" applyFill="1" applyBorder="1"/>
    <xf numFmtId="0" fontId="8" fillId="8" borderId="0" xfId="0" applyFont="1" applyFill="1"/>
    <xf numFmtId="0" fontId="5" fillId="2" borderId="0" xfId="0" applyFont="1" applyFill="1"/>
    <xf numFmtId="0" fontId="4" fillId="3" borderId="0" xfId="0" applyFont="1" applyFill="1"/>
    <xf numFmtId="3" fontId="0" fillId="0" borderId="0" xfId="0" applyNumberFormat="1"/>
    <xf numFmtId="165" fontId="0" fillId="0" borderId="0" xfId="0" applyNumberFormat="1"/>
    <xf numFmtId="0" fontId="2" fillId="6" borderId="0" xfId="0" applyFont="1" applyFill="1"/>
    <xf numFmtId="3" fontId="2" fillId="6" borderId="0" xfId="0" applyNumberFormat="1" applyFont="1" applyFill="1"/>
    <xf numFmtId="0" fontId="2" fillId="6" borderId="0" xfId="0" applyFont="1" applyFill="1"/>
    <xf numFmtId="165" fontId="2" fillId="6" borderId="0" xfId="0" applyNumberFormat="1" applyFont="1" applyFill="1"/>
    <xf numFmtId="0" fontId="6" fillId="18" borderId="0" xfId="0" applyFont="1" applyFill="1"/>
    <xf numFmtId="0" fontId="6" fillId="19" borderId="0" xfId="0" applyFont="1" applyFill="1"/>
    <xf numFmtId="0" fontId="2" fillId="20" borderId="0" xfId="0" applyFont="1" applyFill="1"/>
    <xf numFmtId="3" fontId="2" fillId="20" borderId="0" xfId="0" applyNumberFormat="1" applyFont="1" applyFill="1"/>
    <xf numFmtId="0" fontId="2" fillId="20" borderId="0" xfId="0" applyFont="1" applyFill="1"/>
    <xf numFmtId="0" fontId="6" fillId="21" borderId="0" xfId="0" applyFont="1" applyFill="1"/>
    <xf numFmtId="3" fontId="0" fillId="0" borderId="0" xfId="0" applyNumberFormat="1"/>
    <xf numFmtId="0" fontId="2" fillId="22" borderId="0" xfId="0" applyFont="1" applyFill="1"/>
    <xf numFmtId="3" fontId="2" fillId="22" borderId="0" xfId="0" applyNumberFormat="1" applyFont="1" applyFill="1"/>
    <xf numFmtId="0" fontId="2" fillId="22" borderId="0" xfId="0" applyFont="1" applyFill="1"/>
    <xf numFmtId="3" fontId="2" fillId="0" borderId="0" xfId="0" applyNumberFormat="1" applyFont="1"/>
    <xf numFmtId="0" fontId="9" fillId="23" borderId="0" xfId="0" applyFont="1" applyFill="1"/>
    <xf numFmtId="0" fontId="0" fillId="23" borderId="0" xfId="0" applyFill="1"/>
    <xf numFmtId="0" fontId="11" fillId="23" borderId="0" xfId="0" applyFont="1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14" fillId="24" borderId="0" xfId="0" applyFont="1" applyFill="1"/>
    <xf numFmtId="164" fontId="14" fillId="25" borderId="0" xfId="0" applyNumberFormat="1" applyFont="1" applyFill="1"/>
    <xf numFmtId="0" fontId="14" fillId="26" borderId="0" xfId="0" applyFont="1" applyFill="1"/>
    <xf numFmtId="0" fontId="14" fillId="27" borderId="0" xfId="0" applyFont="1" applyFill="1"/>
    <xf numFmtId="3" fontId="13" fillId="24" borderId="0" xfId="0" applyNumberFormat="1" applyFont="1" applyFill="1" applyAlignment="1">
      <alignment horizontal="left" vertical="center"/>
    </xf>
    <xf numFmtId="3" fontId="13" fillId="25" borderId="0" xfId="0" applyNumberFormat="1" applyFont="1" applyFill="1" applyAlignment="1">
      <alignment horizontal="left" vertical="center"/>
    </xf>
    <xf numFmtId="165" fontId="13" fillId="26" borderId="0" xfId="0" applyNumberFormat="1" applyFont="1" applyFill="1" applyAlignment="1">
      <alignment horizontal="left" vertical="center"/>
    </xf>
    <xf numFmtId="165" fontId="13" fillId="27" borderId="0" xfId="0" applyNumberFormat="1" applyFont="1" applyFill="1" applyAlignment="1">
      <alignment horizontal="left" vertical="center"/>
    </xf>
    <xf numFmtId="0" fontId="12" fillId="24" borderId="0" xfId="0" applyFont="1" applyFill="1" applyAlignment="1">
      <alignment vertical="center"/>
    </xf>
    <xf numFmtId="0" fontId="12" fillId="25" borderId="0" xfId="0" applyFont="1" applyFill="1" applyAlignment="1">
      <alignment vertical="center"/>
    </xf>
    <xf numFmtId="0" fontId="12" fillId="26" borderId="0" xfId="0" applyFont="1" applyFill="1" applyAlignment="1">
      <alignment vertical="center"/>
    </xf>
    <xf numFmtId="0" fontId="12" fillId="27" borderId="0" xfId="0" applyFont="1" applyFill="1" applyAlignment="1">
      <alignment vertical="center"/>
    </xf>
    <xf numFmtId="166" fontId="14" fillId="25" borderId="0" xfId="0" applyNumberFormat="1" applyFont="1" applyFill="1"/>
    <xf numFmtId="0" fontId="16" fillId="0" borderId="0" xfId="0" applyFont="1"/>
    <xf numFmtId="0" fontId="17" fillId="0" borderId="0" xfId="0" applyFont="1"/>
    <xf numFmtId="167" fontId="15" fillId="26" borderId="0" xfId="0" applyNumberFormat="1" applyFont="1" applyFill="1" applyAlignment="1">
      <alignment horizontal="left" vertical="center"/>
    </xf>
    <xf numFmtId="167" fontId="15" fillId="27" borderId="0" xfId="0" applyNumberFormat="1" applyFont="1" applyFill="1" applyAlignment="1">
      <alignment horizontal="left" vertical="center"/>
    </xf>
    <xf numFmtId="0" fontId="18" fillId="23" borderId="0" xfId="0" applyFont="1" applyFill="1"/>
    <xf numFmtId="0" fontId="10" fillId="23" borderId="0" xfId="0" applyFont="1" applyFill="1"/>
    <xf numFmtId="0" fontId="6" fillId="24" borderId="2" xfId="0" applyFont="1" applyFill="1" applyBorder="1"/>
    <xf numFmtId="0" fontId="6" fillId="24" borderId="2" xfId="0" applyFont="1" applyFill="1" applyBorder="1" applyAlignment="1">
      <alignment horizontal="right"/>
    </xf>
    <xf numFmtId="0" fontId="0" fillId="0" borderId="3" xfId="0" applyBorder="1"/>
    <xf numFmtId="0" fontId="0" fillId="28" borderId="3" xfId="0" applyFill="1" applyBorder="1"/>
    <xf numFmtId="0" fontId="6" fillId="26" borderId="4" xfId="0" applyFont="1" applyFill="1" applyBorder="1"/>
    <xf numFmtId="167" fontId="0" fillId="0" borderId="3" xfId="0" applyNumberFormat="1" applyBorder="1" applyAlignment="1">
      <alignment horizontal="right"/>
    </xf>
    <xf numFmtId="167" fontId="0" fillId="28" borderId="3" xfId="0" applyNumberFormat="1" applyFill="1" applyBorder="1" applyAlignment="1">
      <alignment horizontal="right"/>
    </xf>
    <xf numFmtId="167" fontId="6" fillId="26" borderId="4" xfId="0" applyNumberFormat="1" applyFont="1" applyFill="1" applyBorder="1" applyAlignment="1">
      <alignment horizontal="right"/>
    </xf>
    <xf numFmtId="0" fontId="19" fillId="0" borderId="0" xfId="0" applyFont="1" applyAlignment="1">
      <alignment vertical="top" wrapText="1"/>
    </xf>
    <xf numFmtId="0" fontId="7" fillId="25" borderId="0" xfId="0" applyFont="1" applyFill="1"/>
    <xf numFmtId="0" fontId="0" fillId="0" borderId="5" xfId="0" applyBorder="1"/>
    <xf numFmtId="0" fontId="2" fillId="0" borderId="5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28" borderId="3" xfId="0" applyFont="1" applyFill="1" applyBorder="1"/>
    <xf numFmtId="0" fontId="20" fillId="28" borderId="3" xfId="0" applyFont="1" applyFill="1" applyBorder="1" applyAlignment="1">
      <alignment horizontal="right"/>
    </xf>
    <xf numFmtId="0" fontId="2" fillId="28" borderId="6" xfId="0" applyFont="1" applyFill="1" applyBorder="1"/>
    <xf numFmtId="0" fontId="2" fillId="28" borderId="6" xfId="0" applyFont="1" applyFill="1" applyBorder="1" applyAlignment="1">
      <alignment horizontal="right"/>
    </xf>
    <xf numFmtId="0" fontId="19" fillId="0" borderId="0" xfId="0" applyFont="1" applyAlignment="1">
      <alignment vertical="top" wrapText="1"/>
    </xf>
    <xf numFmtId="0" fontId="19" fillId="29" borderId="0" xfId="0" applyFont="1" applyFill="1"/>
    <xf numFmtId="0" fontId="21" fillId="29" borderId="0" xfId="0" applyFont="1" applyFill="1" applyAlignment="1">
      <alignment vertical="top" wrapText="1"/>
    </xf>
    <xf numFmtId="0" fontId="22" fillId="0" borderId="0" xfId="0" applyFont="1"/>
    <xf numFmtId="0" fontId="25" fillId="0" borderId="0" xfId="0" applyFont="1" applyAlignment="1">
      <alignment horizontal="center"/>
    </xf>
    <xf numFmtId="0" fontId="0" fillId="28" borderId="0" xfId="0" applyFill="1"/>
    <xf numFmtId="0" fontId="0" fillId="24" borderId="0" xfId="0" applyFill="1"/>
    <xf numFmtId="0" fontId="3" fillId="24" borderId="0" xfId="0" applyFont="1" applyFill="1" applyAlignment="1">
      <alignment horizontal="left" vertical="center" indent="1"/>
    </xf>
    <xf numFmtId="3" fontId="26" fillId="24" borderId="0" xfId="0" applyNumberFormat="1" applyFont="1" applyFill="1" applyAlignment="1">
      <alignment horizontal="center" vertical="center"/>
    </xf>
    <xf numFmtId="0" fontId="27" fillId="24" borderId="0" xfId="0" applyFont="1" applyFill="1" applyAlignment="1">
      <alignment horizontal="center"/>
    </xf>
    <xf numFmtId="3" fontId="26" fillId="25" borderId="0" xfId="0" applyNumberFormat="1" applyFont="1" applyFill="1" applyAlignment="1">
      <alignment horizontal="center" vertical="center"/>
    </xf>
    <xf numFmtId="0" fontId="0" fillId="25" borderId="0" xfId="0" applyFill="1"/>
    <xf numFmtId="0" fontId="27" fillId="25" borderId="0" xfId="0" applyFont="1" applyFill="1" applyAlignment="1">
      <alignment horizontal="center"/>
    </xf>
    <xf numFmtId="167" fontId="26" fillId="26" borderId="0" xfId="0" applyNumberFormat="1" applyFont="1" applyFill="1" applyAlignment="1">
      <alignment horizontal="center" vertical="center"/>
    </xf>
    <xf numFmtId="0" fontId="0" fillId="26" borderId="0" xfId="0" applyFill="1"/>
    <xf numFmtId="0" fontId="27" fillId="26" borderId="0" xfId="0" applyFont="1" applyFill="1" applyAlignment="1">
      <alignment horizontal="center"/>
    </xf>
    <xf numFmtId="167" fontId="26" fillId="27" borderId="0" xfId="0" applyNumberFormat="1" applyFont="1" applyFill="1" applyAlignment="1">
      <alignment horizontal="center" vertical="center"/>
    </xf>
    <xf numFmtId="0" fontId="0" fillId="27" borderId="0" xfId="0" applyFill="1"/>
    <xf numFmtId="0" fontId="27" fillId="27" borderId="0" xfId="0" applyFont="1" applyFill="1" applyAlignment="1">
      <alignment horizontal="center"/>
    </xf>
    <xf numFmtId="0" fontId="28" fillId="28" borderId="0" xfId="0" applyFont="1" applyFill="1"/>
    <xf numFmtId="0" fontId="0" fillId="16" borderId="0" xfId="0" applyFill="1"/>
    <xf numFmtId="0" fontId="13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68" fontId="30" fillId="0" borderId="0" xfId="0" applyNumberFormat="1" applyFont="1" applyAlignment="1">
      <alignment horizontal="center"/>
    </xf>
    <xf numFmtId="0" fontId="0" fillId="23" borderId="0" xfId="0" applyFill="1"/>
    <xf numFmtId="0" fontId="23" fillId="23" borderId="0" xfId="0" applyFont="1" applyFill="1" applyAlignment="1">
      <alignment horizontal="center" vertical="center"/>
    </xf>
    <xf numFmtId="0" fontId="24" fillId="23" borderId="0" xfId="0" applyFont="1" applyFill="1" applyAlignment="1">
      <alignment horizontal="center" vertical="center"/>
    </xf>
    <xf numFmtId="0" fontId="25" fillId="23" borderId="0" xfId="0" applyFont="1" applyFill="1" applyAlignment="1">
      <alignment horizontal="center" vertical="center"/>
    </xf>
    <xf numFmtId="0" fontId="31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HC por Responsável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'Apresentação Gerencial'!$C$14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'Apresentação Gerencial'!$B$15:$B$27</c:f>
              <c:strCache>
                <c:ptCount val="13"/>
                <c:pt idx="0">
                  <c:v>Flávio</c:v>
                </c:pt>
                <c:pt idx="1">
                  <c:v>Elias</c:v>
                </c:pt>
                <c:pt idx="2">
                  <c:v>Rogério</c:v>
                </c:pt>
                <c:pt idx="3">
                  <c:v>Ronaldo</c:v>
                </c:pt>
                <c:pt idx="4">
                  <c:v>Helena</c:v>
                </c:pt>
                <c:pt idx="5">
                  <c:v>Laércio</c:v>
                </c:pt>
                <c:pt idx="6">
                  <c:v>Pedro</c:v>
                </c:pt>
                <c:pt idx="7">
                  <c:v>Everton</c:v>
                </c:pt>
                <c:pt idx="8">
                  <c:v>Devanir</c:v>
                </c:pt>
                <c:pt idx="9">
                  <c:v>Paulo</c:v>
                </c:pt>
                <c:pt idx="10">
                  <c:v>Adriano</c:v>
                </c:pt>
                <c:pt idx="11">
                  <c:v>Hugo</c:v>
                </c:pt>
                <c:pt idx="12">
                  <c:v>Luiz Jr.</c:v>
                </c:pt>
              </c:strCache>
            </c:strRef>
          </c:cat>
          <c:val>
            <c:numRef>
              <c:f>'Apresentação Gerencial'!$C$15:$C$27</c:f>
              <c:numCache>
                <c:formatCode>General</c:formatCode>
                <c:ptCount val="13"/>
                <c:pt idx="0">
                  <c:v>243</c:v>
                </c:pt>
                <c:pt idx="1">
                  <c:v>182</c:v>
                </c:pt>
                <c:pt idx="2">
                  <c:v>123</c:v>
                </c:pt>
                <c:pt idx="3">
                  <c:v>120</c:v>
                </c:pt>
                <c:pt idx="4">
                  <c:v>34</c:v>
                </c:pt>
                <c:pt idx="5">
                  <c:v>32</c:v>
                </c:pt>
                <c:pt idx="6">
                  <c:v>12</c:v>
                </c:pt>
                <c:pt idx="7">
                  <c:v>7</c:v>
                </c:pt>
                <c:pt idx="8">
                  <c:v>1</c:v>
                </c:pt>
                <c:pt idx="9">
                  <c:v>76</c:v>
                </c:pt>
                <c:pt idx="10">
                  <c:v>60</c:v>
                </c:pt>
                <c:pt idx="11">
                  <c:v>50</c:v>
                </c:pt>
                <c:pt idx="1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D-46B3-B1BA-C0C0FAAE4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7512655"/>
        <c:axId val="1837513615"/>
      </c:barChart>
      <c:catAx>
        <c:axId val="1837512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7513615"/>
        <c:crosses val="autoZero"/>
        <c:auto val="1"/>
        <c:lblAlgn val="ctr"/>
        <c:lblOffset val="100"/>
        <c:noMultiLvlLbl val="0"/>
      </c:catAx>
      <c:valAx>
        <c:axId val="183751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751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Redução por Função: Possível vs Recomendada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'Apresentação Gerencial'!$L$33</c:f>
              <c:strCache>
                <c:ptCount val="1"/>
                <c:pt idx="0">
                  <c:v>Possível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strRef>
              <c:f>'Apresentação Gerencial'!$K$34:$K$47</c:f>
              <c:strCache>
                <c:ptCount val="14"/>
                <c:pt idx="0">
                  <c:v>Coordenação</c:v>
                </c:pt>
                <c:pt idx="1">
                  <c:v>Gestor</c:v>
                </c:pt>
                <c:pt idx="2">
                  <c:v>Trainee</c:v>
                </c:pt>
                <c:pt idx="3">
                  <c:v>Líder</c:v>
                </c:pt>
                <c:pt idx="4">
                  <c:v>Operador</c:v>
                </c:pt>
                <c:pt idx="5">
                  <c:v>Motorista</c:v>
                </c:pt>
                <c:pt idx="6">
                  <c:v>Mecânico</c:v>
                </c:pt>
                <c:pt idx="7">
                  <c:v>Eletricista</c:v>
                </c:pt>
                <c:pt idx="8">
                  <c:v>Auxiliar</c:v>
                </c:pt>
                <c:pt idx="9">
                  <c:v>Analista</c:v>
                </c:pt>
                <c:pt idx="10">
                  <c:v>Rurais</c:v>
                </c:pt>
                <c:pt idx="11">
                  <c:v>Brigada</c:v>
                </c:pt>
                <c:pt idx="12">
                  <c:v>Qualidade</c:v>
                </c:pt>
                <c:pt idx="13">
                  <c:v>Outros</c:v>
                </c:pt>
              </c:strCache>
            </c:strRef>
          </c:cat>
          <c:val>
            <c:numRef>
              <c:f>'Apresentação Gerencial'!$L$34:$L$47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18</c:v>
                </c:pt>
                <c:pt idx="4">
                  <c:v>32</c:v>
                </c:pt>
                <c:pt idx="5">
                  <c:v>8</c:v>
                </c:pt>
                <c:pt idx="6">
                  <c:v>12</c:v>
                </c:pt>
                <c:pt idx="7">
                  <c:v>4</c:v>
                </c:pt>
                <c:pt idx="8">
                  <c:v>8</c:v>
                </c:pt>
                <c:pt idx="9">
                  <c:v>4</c:v>
                </c:pt>
                <c:pt idx="10">
                  <c:v>6</c:v>
                </c:pt>
                <c:pt idx="11">
                  <c:v>3</c:v>
                </c:pt>
                <c:pt idx="12">
                  <c:v>0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8-4BDF-BADE-7F723D6CC843}"/>
            </c:ext>
          </c:extLst>
        </c:ser>
        <c:ser>
          <c:idx val="1"/>
          <c:order val="1"/>
          <c:tx>
            <c:strRef>
              <c:f>'Apresentação Gerencial'!$M$33</c:f>
              <c:strCache>
                <c:ptCount val="1"/>
                <c:pt idx="0">
                  <c:v>Recomendada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cat>
            <c:strRef>
              <c:f>'Apresentação Gerencial'!$K$34:$K$47</c:f>
              <c:strCache>
                <c:ptCount val="14"/>
                <c:pt idx="0">
                  <c:v>Coordenação</c:v>
                </c:pt>
                <c:pt idx="1">
                  <c:v>Gestor</c:v>
                </c:pt>
                <c:pt idx="2">
                  <c:v>Trainee</c:v>
                </c:pt>
                <c:pt idx="3">
                  <c:v>Líder</c:v>
                </c:pt>
                <c:pt idx="4">
                  <c:v>Operador</c:v>
                </c:pt>
                <c:pt idx="5">
                  <c:v>Motorista</c:v>
                </c:pt>
                <c:pt idx="6">
                  <c:v>Mecânico</c:v>
                </c:pt>
                <c:pt idx="7">
                  <c:v>Eletricista</c:v>
                </c:pt>
                <c:pt idx="8">
                  <c:v>Auxiliar</c:v>
                </c:pt>
                <c:pt idx="9">
                  <c:v>Analista</c:v>
                </c:pt>
                <c:pt idx="10">
                  <c:v>Rurais</c:v>
                </c:pt>
                <c:pt idx="11">
                  <c:v>Brigada</c:v>
                </c:pt>
                <c:pt idx="12">
                  <c:v>Qualidade</c:v>
                </c:pt>
                <c:pt idx="13">
                  <c:v>Outros</c:v>
                </c:pt>
              </c:strCache>
            </c:strRef>
          </c:cat>
          <c:val>
            <c:numRef>
              <c:f>'Apresentação Gerencial'!$M$34:$M$47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</c:v>
                </c:pt>
                <c:pt idx="9">
                  <c:v>4</c:v>
                </c:pt>
                <c:pt idx="10">
                  <c:v>6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E8-4BDF-BADE-7F723D6CC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516495"/>
        <c:axId val="1837510735"/>
      </c:barChart>
      <c:catAx>
        <c:axId val="183751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7510735"/>
        <c:crosses val="autoZero"/>
        <c:auto val="1"/>
        <c:lblAlgn val="ctr"/>
        <c:lblOffset val="100"/>
        <c:noMultiLvlLbl val="0"/>
      </c:catAx>
      <c:valAx>
        <c:axId val="183751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751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'🎯 Dashboard'!$C$41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rgbClr val="2E5C8A"/>
            </a:solidFill>
            <a:ln>
              <a:noFill/>
            </a:ln>
            <a:effectLst/>
          </c:spPr>
          <c:invertIfNegative val="0"/>
          <c:cat>
            <c:strRef>
              <c:f>'🎯 Dashboard'!$B$42:$B$54</c:f>
              <c:strCache>
                <c:ptCount val="13"/>
                <c:pt idx="0">
                  <c:v>Flávio</c:v>
                </c:pt>
                <c:pt idx="1">
                  <c:v>Elias</c:v>
                </c:pt>
                <c:pt idx="2">
                  <c:v>Rogério</c:v>
                </c:pt>
                <c:pt idx="3">
                  <c:v>Ronaldo</c:v>
                </c:pt>
                <c:pt idx="4">
                  <c:v>Helena</c:v>
                </c:pt>
                <c:pt idx="5">
                  <c:v>Laércio</c:v>
                </c:pt>
                <c:pt idx="6">
                  <c:v>Pedro</c:v>
                </c:pt>
                <c:pt idx="7">
                  <c:v>Everton</c:v>
                </c:pt>
                <c:pt idx="8">
                  <c:v>Devanir</c:v>
                </c:pt>
                <c:pt idx="9">
                  <c:v>Paulo</c:v>
                </c:pt>
                <c:pt idx="10">
                  <c:v>Adriano</c:v>
                </c:pt>
                <c:pt idx="11">
                  <c:v>Hugo</c:v>
                </c:pt>
                <c:pt idx="12">
                  <c:v>Luiz Jr.</c:v>
                </c:pt>
              </c:strCache>
            </c:strRef>
          </c:cat>
          <c:val>
            <c:numRef>
              <c:f>'🎯 Dashboard'!$C$42:$C$54</c:f>
              <c:numCache>
                <c:formatCode>General</c:formatCode>
                <c:ptCount val="13"/>
                <c:pt idx="0">
                  <c:v>243</c:v>
                </c:pt>
                <c:pt idx="1">
                  <c:v>182</c:v>
                </c:pt>
                <c:pt idx="2">
                  <c:v>123</c:v>
                </c:pt>
                <c:pt idx="3">
                  <c:v>120</c:v>
                </c:pt>
                <c:pt idx="4">
                  <c:v>34</c:v>
                </c:pt>
                <c:pt idx="5">
                  <c:v>32</c:v>
                </c:pt>
                <c:pt idx="6">
                  <c:v>12</c:v>
                </c:pt>
                <c:pt idx="7">
                  <c:v>7</c:v>
                </c:pt>
                <c:pt idx="8">
                  <c:v>1</c:v>
                </c:pt>
                <c:pt idx="9">
                  <c:v>76</c:v>
                </c:pt>
                <c:pt idx="10">
                  <c:v>60</c:v>
                </c:pt>
                <c:pt idx="11">
                  <c:v>50</c:v>
                </c:pt>
                <c:pt idx="1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A-4A0A-AC0E-0F4B0B68A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4707263"/>
        <c:axId val="1925555615"/>
      </c:barChart>
      <c:catAx>
        <c:axId val="1154707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5555615"/>
        <c:crosses val="autoZero"/>
        <c:auto val="1"/>
        <c:lblAlgn val="ctr"/>
        <c:lblOffset val="100"/>
        <c:noMultiLvlLbl val="0"/>
      </c:catAx>
      <c:valAx>
        <c:axId val="192555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470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'🎯 Dashboard'!$F$41</c:f>
              <c:strCache>
                <c:ptCount val="1"/>
                <c:pt idx="0">
                  <c:v>Economia (R$)</c:v>
                </c:pt>
              </c:strCache>
            </c:strRef>
          </c:tx>
          <c:spPr>
            <a:solidFill>
              <a:srgbClr val="1E7145"/>
            </a:solidFill>
            <a:ln>
              <a:noFill/>
            </a:ln>
            <a:effectLst/>
          </c:spPr>
          <c:invertIfNegative val="0"/>
          <c:cat>
            <c:strRef>
              <c:f>'🎯 Dashboard'!$E$42:$E$55</c:f>
              <c:strCache>
                <c:ptCount val="14"/>
                <c:pt idx="0">
                  <c:v>Coordenação</c:v>
                </c:pt>
                <c:pt idx="1">
                  <c:v>Gestor</c:v>
                </c:pt>
                <c:pt idx="2">
                  <c:v>Trainee</c:v>
                </c:pt>
                <c:pt idx="3">
                  <c:v>Líder</c:v>
                </c:pt>
                <c:pt idx="4">
                  <c:v>Operador</c:v>
                </c:pt>
                <c:pt idx="5">
                  <c:v>Motorista</c:v>
                </c:pt>
                <c:pt idx="6">
                  <c:v>Mecânico</c:v>
                </c:pt>
                <c:pt idx="7">
                  <c:v>Eletricista</c:v>
                </c:pt>
                <c:pt idx="8">
                  <c:v>Auxiliar</c:v>
                </c:pt>
                <c:pt idx="9">
                  <c:v>Analista</c:v>
                </c:pt>
                <c:pt idx="10">
                  <c:v>Rurais</c:v>
                </c:pt>
                <c:pt idx="11">
                  <c:v>Brigada</c:v>
                </c:pt>
                <c:pt idx="12">
                  <c:v>Qualidade</c:v>
                </c:pt>
                <c:pt idx="13">
                  <c:v>Outros</c:v>
                </c:pt>
              </c:strCache>
            </c:strRef>
          </c:cat>
          <c:val>
            <c:numRef>
              <c:f>'🎯 Dashboard'!$F$42:$F$55</c:f>
              <c:numCache>
                <c:formatCode>General</c:formatCode>
                <c:ptCount val="14"/>
                <c:pt idx="0">
                  <c:v>0</c:v>
                </c:pt>
                <c:pt idx="1">
                  <c:v>121341.465</c:v>
                </c:pt>
                <c:pt idx="2">
                  <c:v>219660.86415795749</c:v>
                </c:pt>
                <c:pt idx="3">
                  <c:v>311121.1466214087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643106.10578459373</c:v>
                </c:pt>
                <c:pt idx="9">
                  <c:v>118060.704</c:v>
                </c:pt>
                <c:pt idx="10">
                  <c:v>477535.2</c:v>
                </c:pt>
                <c:pt idx="11">
                  <c:v>0</c:v>
                </c:pt>
                <c:pt idx="12">
                  <c:v>0</c:v>
                </c:pt>
                <c:pt idx="13">
                  <c:v>434561.89000833692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7-49C8-8CDB-9776A588F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8063583"/>
        <c:axId val="1398064543"/>
      </c:barChart>
      <c:catAx>
        <c:axId val="139806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8064543"/>
        <c:crosses val="autoZero"/>
        <c:auto val="1"/>
        <c:lblAlgn val="ctr"/>
        <c:lblOffset val="100"/>
        <c:noMultiLvlLbl val="0"/>
      </c:catAx>
      <c:valAx>
        <c:axId val="139806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806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'🎯 Dashboard'!$I$41</c:f>
              <c:strCache>
                <c:ptCount val="1"/>
                <c:pt idx="0">
                  <c:v>Possível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strRef>
              <c:f>'🎯 Dashboard'!$H$42:$H$55</c:f>
              <c:strCache>
                <c:ptCount val="14"/>
                <c:pt idx="0">
                  <c:v>Coordenação</c:v>
                </c:pt>
                <c:pt idx="1">
                  <c:v>Gestor</c:v>
                </c:pt>
                <c:pt idx="2">
                  <c:v>Trainee</c:v>
                </c:pt>
                <c:pt idx="3">
                  <c:v>Líder</c:v>
                </c:pt>
                <c:pt idx="4">
                  <c:v>Operador</c:v>
                </c:pt>
                <c:pt idx="5">
                  <c:v>Motorista</c:v>
                </c:pt>
                <c:pt idx="6">
                  <c:v>Mecânico</c:v>
                </c:pt>
                <c:pt idx="7">
                  <c:v>Eletricista</c:v>
                </c:pt>
                <c:pt idx="8">
                  <c:v>Auxiliar</c:v>
                </c:pt>
                <c:pt idx="9">
                  <c:v>Analista</c:v>
                </c:pt>
                <c:pt idx="10">
                  <c:v>Rurais</c:v>
                </c:pt>
                <c:pt idx="11">
                  <c:v>Brigada</c:v>
                </c:pt>
                <c:pt idx="12">
                  <c:v>Qualidade</c:v>
                </c:pt>
                <c:pt idx="13">
                  <c:v>Outros</c:v>
                </c:pt>
              </c:strCache>
            </c:strRef>
          </c:cat>
          <c:val>
            <c:numRef>
              <c:f>'🎯 Dashboard'!$I$42:$I$55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18</c:v>
                </c:pt>
                <c:pt idx="4">
                  <c:v>32</c:v>
                </c:pt>
                <c:pt idx="5">
                  <c:v>8</c:v>
                </c:pt>
                <c:pt idx="6">
                  <c:v>12</c:v>
                </c:pt>
                <c:pt idx="7">
                  <c:v>4</c:v>
                </c:pt>
                <c:pt idx="8">
                  <c:v>8</c:v>
                </c:pt>
                <c:pt idx="9">
                  <c:v>4</c:v>
                </c:pt>
                <c:pt idx="10">
                  <c:v>6</c:v>
                </c:pt>
                <c:pt idx="11">
                  <c:v>3</c:v>
                </c:pt>
                <c:pt idx="12">
                  <c:v>0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9-4323-9BA3-4C861BF7A142}"/>
            </c:ext>
          </c:extLst>
        </c:ser>
        <c:ser>
          <c:idx val="1"/>
          <c:order val="1"/>
          <c:tx>
            <c:strRef>
              <c:f>'🎯 Dashboard'!$J$41</c:f>
              <c:strCache>
                <c:ptCount val="1"/>
                <c:pt idx="0">
                  <c:v>Recomendada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cat>
            <c:strRef>
              <c:f>'🎯 Dashboard'!$H$42:$H$55</c:f>
              <c:strCache>
                <c:ptCount val="14"/>
                <c:pt idx="0">
                  <c:v>Coordenação</c:v>
                </c:pt>
                <c:pt idx="1">
                  <c:v>Gestor</c:v>
                </c:pt>
                <c:pt idx="2">
                  <c:v>Trainee</c:v>
                </c:pt>
                <c:pt idx="3">
                  <c:v>Líder</c:v>
                </c:pt>
                <c:pt idx="4">
                  <c:v>Operador</c:v>
                </c:pt>
                <c:pt idx="5">
                  <c:v>Motorista</c:v>
                </c:pt>
                <c:pt idx="6">
                  <c:v>Mecânico</c:v>
                </c:pt>
                <c:pt idx="7">
                  <c:v>Eletricista</c:v>
                </c:pt>
                <c:pt idx="8">
                  <c:v>Auxiliar</c:v>
                </c:pt>
                <c:pt idx="9">
                  <c:v>Analista</c:v>
                </c:pt>
                <c:pt idx="10">
                  <c:v>Rurais</c:v>
                </c:pt>
                <c:pt idx="11">
                  <c:v>Brigada</c:v>
                </c:pt>
                <c:pt idx="12">
                  <c:v>Qualidade</c:v>
                </c:pt>
                <c:pt idx="13">
                  <c:v>Outros</c:v>
                </c:pt>
              </c:strCache>
            </c:strRef>
          </c:cat>
          <c:val>
            <c:numRef>
              <c:f>'🎯 Dashboard'!$J$42:$J$55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</c:v>
                </c:pt>
                <c:pt idx="9">
                  <c:v>4</c:v>
                </c:pt>
                <c:pt idx="10">
                  <c:v>6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E9-4323-9BA3-4C861BF7A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560943"/>
        <c:axId val="1115561423"/>
      </c:barChart>
      <c:catAx>
        <c:axId val="111556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5561423"/>
        <c:crosses val="autoZero"/>
        <c:auto val="1"/>
        <c:lblAlgn val="ctr"/>
        <c:lblOffset val="100"/>
        <c:noMultiLvlLbl val="0"/>
      </c:catAx>
      <c:valAx>
        <c:axId val="111556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556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'🎯 Dashboard'!$E$58:$E$60</c:f>
              <c:strCache>
                <c:ptCount val="3"/>
                <c:pt idx="0">
                  <c:v>Pós-redução recomendada</c:v>
                </c:pt>
                <c:pt idx="1">
                  <c:v>Redução recomendada</c:v>
                </c:pt>
                <c:pt idx="2">
                  <c:v>Redução adicional possível</c:v>
                </c:pt>
              </c:strCache>
            </c:strRef>
          </c:cat>
          <c:val>
            <c:numRef>
              <c:f>'🎯 Dashboard'!$F$58:$F$60</c:f>
              <c:numCache>
                <c:formatCode>General</c:formatCode>
                <c:ptCount val="3"/>
                <c:pt idx="0">
                  <c:v>926</c:v>
                </c:pt>
                <c:pt idx="1">
                  <c:v>41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7-4615-A8EB-07855C8C9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'🎯 Dashboard'!$I$41</c:f>
              <c:strCache>
                <c:ptCount val="1"/>
                <c:pt idx="0">
                  <c:v>Possível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strRef>
              <c:f>'🎯 Dashboard'!$H$42:$H$55</c:f>
              <c:strCache>
                <c:ptCount val="14"/>
                <c:pt idx="0">
                  <c:v>Coordenação</c:v>
                </c:pt>
                <c:pt idx="1">
                  <c:v>Gestor</c:v>
                </c:pt>
                <c:pt idx="2">
                  <c:v>Trainee</c:v>
                </c:pt>
                <c:pt idx="3">
                  <c:v>Líder</c:v>
                </c:pt>
                <c:pt idx="4">
                  <c:v>Operador</c:v>
                </c:pt>
                <c:pt idx="5">
                  <c:v>Motorista</c:v>
                </c:pt>
                <c:pt idx="6">
                  <c:v>Mecânico</c:v>
                </c:pt>
                <c:pt idx="7">
                  <c:v>Eletricista</c:v>
                </c:pt>
                <c:pt idx="8">
                  <c:v>Auxiliar</c:v>
                </c:pt>
                <c:pt idx="9">
                  <c:v>Analista</c:v>
                </c:pt>
                <c:pt idx="10">
                  <c:v>Rurais</c:v>
                </c:pt>
                <c:pt idx="11">
                  <c:v>Brigada</c:v>
                </c:pt>
                <c:pt idx="12">
                  <c:v>Qualidade</c:v>
                </c:pt>
                <c:pt idx="13">
                  <c:v>Outros</c:v>
                </c:pt>
              </c:strCache>
            </c:strRef>
          </c:cat>
          <c:val>
            <c:numRef>
              <c:f>'🎯 Dashboard'!$I$42:$I$55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18</c:v>
                </c:pt>
                <c:pt idx="4">
                  <c:v>32</c:v>
                </c:pt>
                <c:pt idx="5">
                  <c:v>8</c:v>
                </c:pt>
                <c:pt idx="6">
                  <c:v>12</c:v>
                </c:pt>
                <c:pt idx="7">
                  <c:v>4</c:v>
                </c:pt>
                <c:pt idx="8">
                  <c:v>8</c:v>
                </c:pt>
                <c:pt idx="9">
                  <c:v>4</c:v>
                </c:pt>
                <c:pt idx="10">
                  <c:v>6</c:v>
                </c:pt>
                <c:pt idx="11">
                  <c:v>3</c:v>
                </c:pt>
                <c:pt idx="12">
                  <c:v>0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B-4287-B298-662D9F27AA9C}"/>
            </c:ext>
          </c:extLst>
        </c:ser>
        <c:ser>
          <c:idx val="1"/>
          <c:order val="1"/>
          <c:tx>
            <c:strRef>
              <c:f>'🎯 Dashboard'!$J$41</c:f>
              <c:strCache>
                <c:ptCount val="1"/>
                <c:pt idx="0">
                  <c:v>Recomendada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cat>
            <c:strRef>
              <c:f>'🎯 Dashboard'!$H$42:$H$55</c:f>
              <c:strCache>
                <c:ptCount val="14"/>
                <c:pt idx="0">
                  <c:v>Coordenação</c:v>
                </c:pt>
                <c:pt idx="1">
                  <c:v>Gestor</c:v>
                </c:pt>
                <c:pt idx="2">
                  <c:v>Trainee</c:v>
                </c:pt>
                <c:pt idx="3">
                  <c:v>Líder</c:v>
                </c:pt>
                <c:pt idx="4">
                  <c:v>Operador</c:v>
                </c:pt>
                <c:pt idx="5">
                  <c:v>Motorista</c:v>
                </c:pt>
                <c:pt idx="6">
                  <c:v>Mecânico</c:v>
                </c:pt>
                <c:pt idx="7">
                  <c:v>Eletricista</c:v>
                </c:pt>
                <c:pt idx="8">
                  <c:v>Auxiliar</c:v>
                </c:pt>
                <c:pt idx="9">
                  <c:v>Analista</c:v>
                </c:pt>
                <c:pt idx="10">
                  <c:v>Rurais</c:v>
                </c:pt>
                <c:pt idx="11">
                  <c:v>Brigada</c:v>
                </c:pt>
                <c:pt idx="12">
                  <c:v>Qualidade</c:v>
                </c:pt>
                <c:pt idx="13">
                  <c:v>Outros</c:v>
                </c:pt>
              </c:strCache>
            </c:strRef>
          </c:cat>
          <c:val>
            <c:numRef>
              <c:f>'🎯 Dashboard'!$J$42:$J$55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</c:v>
                </c:pt>
                <c:pt idx="9">
                  <c:v>4</c:v>
                </c:pt>
                <c:pt idx="10">
                  <c:v>6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CB-4287-B298-662D9F27A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074399"/>
        <c:axId val="1239074879"/>
      </c:barChart>
      <c:catAx>
        <c:axId val="123907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074879"/>
        <c:crosses val="autoZero"/>
        <c:auto val="1"/>
        <c:lblAlgn val="ctr"/>
        <c:lblOffset val="100"/>
        <c:noMultiLvlLbl val="0"/>
      </c:catAx>
      <c:valAx>
        <c:axId val="123907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07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'🎯 Dashboard'!$F$41</c:f>
              <c:strCache>
                <c:ptCount val="1"/>
                <c:pt idx="0">
                  <c:v>Economia (R$)</c:v>
                </c:pt>
              </c:strCache>
            </c:strRef>
          </c:tx>
          <c:spPr>
            <a:solidFill>
              <a:srgbClr val="1E7145"/>
            </a:solidFill>
            <a:ln>
              <a:noFill/>
            </a:ln>
            <a:effectLst/>
          </c:spPr>
          <c:invertIfNegative val="0"/>
          <c:cat>
            <c:strRef>
              <c:f>'🎯 Dashboard'!$E$42:$E$55</c:f>
              <c:strCache>
                <c:ptCount val="14"/>
                <c:pt idx="0">
                  <c:v>Coordenação</c:v>
                </c:pt>
                <c:pt idx="1">
                  <c:v>Gestor</c:v>
                </c:pt>
                <c:pt idx="2">
                  <c:v>Trainee</c:v>
                </c:pt>
                <c:pt idx="3">
                  <c:v>Líder</c:v>
                </c:pt>
                <c:pt idx="4">
                  <c:v>Operador</c:v>
                </c:pt>
                <c:pt idx="5">
                  <c:v>Motorista</c:v>
                </c:pt>
                <c:pt idx="6">
                  <c:v>Mecânico</c:v>
                </c:pt>
                <c:pt idx="7">
                  <c:v>Eletricista</c:v>
                </c:pt>
                <c:pt idx="8">
                  <c:v>Auxiliar</c:v>
                </c:pt>
                <c:pt idx="9">
                  <c:v>Analista</c:v>
                </c:pt>
                <c:pt idx="10">
                  <c:v>Rurais</c:v>
                </c:pt>
                <c:pt idx="11">
                  <c:v>Brigada</c:v>
                </c:pt>
                <c:pt idx="12">
                  <c:v>Qualidade</c:v>
                </c:pt>
                <c:pt idx="13">
                  <c:v>Outros</c:v>
                </c:pt>
              </c:strCache>
            </c:strRef>
          </c:cat>
          <c:val>
            <c:numRef>
              <c:f>'🎯 Dashboard'!$F$42:$F$55</c:f>
              <c:numCache>
                <c:formatCode>General</c:formatCode>
                <c:ptCount val="14"/>
                <c:pt idx="0">
                  <c:v>0</c:v>
                </c:pt>
                <c:pt idx="1">
                  <c:v>121341.465</c:v>
                </c:pt>
                <c:pt idx="2">
                  <c:v>219660.86415795749</c:v>
                </c:pt>
                <c:pt idx="3">
                  <c:v>311121.1466214087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643106.10578459373</c:v>
                </c:pt>
                <c:pt idx="9">
                  <c:v>118060.704</c:v>
                </c:pt>
                <c:pt idx="10">
                  <c:v>477535.2</c:v>
                </c:pt>
                <c:pt idx="11">
                  <c:v>0</c:v>
                </c:pt>
                <c:pt idx="12">
                  <c:v>0</c:v>
                </c:pt>
                <c:pt idx="13">
                  <c:v>434561.89000833692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8-44CE-8A0C-1F30DAC83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394767"/>
        <c:axId val="1244393327"/>
      </c:barChart>
      <c:catAx>
        <c:axId val="124439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4393327"/>
        <c:crosses val="autoZero"/>
        <c:auto val="1"/>
        <c:lblAlgn val="ctr"/>
        <c:lblOffset val="100"/>
        <c:noMultiLvlLbl val="0"/>
      </c:catAx>
      <c:valAx>
        <c:axId val="124439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439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Custos evitados por frente (R$)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'🖥️ Deck Slides'!$D$123</c:f>
              <c:strCache>
                <c:ptCount val="1"/>
                <c:pt idx="0">
                  <c:v>R$</c:v>
                </c:pt>
              </c:strCache>
            </c:strRef>
          </c:tx>
          <c:spPr>
            <a:solidFill>
              <a:srgbClr val="2E5C8A"/>
            </a:solidFill>
            <a:ln>
              <a:noFill/>
            </a:ln>
            <a:effectLst/>
          </c:spPr>
          <c:invertIfNegative val="0"/>
          <c:cat>
            <c:strRef>
              <c:f>'🖥️ Deck Slides'!$C$124:$C$127</c:f>
              <c:strCache>
                <c:ptCount val="4"/>
                <c:pt idx="0">
                  <c:v>RH (líquido)</c:v>
                </c:pt>
                <c:pt idx="1">
                  <c:v>Agr c/ impacto</c:v>
                </c:pt>
                <c:pt idx="2">
                  <c:v>Agr sem impacto</c:v>
                </c:pt>
                <c:pt idx="3">
                  <c:v>Frota/Automotiva</c:v>
                </c:pt>
              </c:strCache>
            </c:strRef>
          </c:cat>
          <c:val>
            <c:numRef>
              <c:f>'🖥️ Deck Slides'!$D$124:$D$127</c:f>
              <c:numCache>
                <c:formatCode>General</c:formatCode>
                <c:ptCount val="4"/>
                <c:pt idx="0">
                  <c:v>3442598.7967437799</c:v>
                </c:pt>
                <c:pt idx="1">
                  <c:v>8537813.8643999994</c:v>
                </c:pt>
                <c:pt idx="2">
                  <c:v>1082000</c:v>
                </c:pt>
                <c:pt idx="3">
                  <c:v>526151.91999999969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F-4EB7-B131-3A72C41D9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4392847"/>
        <c:axId val="1244279007"/>
      </c:barChart>
      <c:catAx>
        <c:axId val="1244392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4279007"/>
        <c:crosses val="autoZero"/>
        <c:auto val="1"/>
        <c:lblAlgn val="ctr"/>
        <c:lblOffset val="100"/>
        <c:noMultiLvlLbl val="0"/>
      </c:catAx>
      <c:valAx>
        <c:axId val="124427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439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etanol protegida (R$)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'🖥️ Deck Slides'!$G$123</c:f>
              <c:strCache>
                <c:ptCount val="1"/>
                <c:pt idx="0">
                  <c:v>R$</c:v>
                </c:pt>
              </c:strCache>
            </c:strRef>
          </c:tx>
          <c:spPr>
            <a:solidFill>
              <a:srgbClr val="E36C09"/>
            </a:solidFill>
            <a:ln>
              <a:noFill/>
            </a:ln>
            <a:effectLst/>
          </c:spPr>
          <c:invertIfNegative val="0"/>
          <c:cat>
            <c:strRef>
              <c:f>'🖥️ Deck Slides'!$F$124:$F$126</c:f>
              <c:strCache>
                <c:ptCount val="3"/>
                <c:pt idx="0">
                  <c:v>Baixo</c:v>
                </c:pt>
                <c:pt idx="1">
                  <c:v>Médio</c:v>
                </c:pt>
                <c:pt idx="2">
                  <c:v>Alto</c:v>
                </c:pt>
              </c:strCache>
            </c:strRef>
          </c:cat>
          <c:val>
            <c:numRef>
              <c:f>'🖥️ Deck Slides'!$G$124:$G$126</c:f>
              <c:numCache>
                <c:formatCode>General</c:formatCode>
                <c:ptCount val="3"/>
                <c:pt idx="0">
                  <c:v>20953790.569976319</c:v>
                </c:pt>
                <c:pt idx="1">
                  <c:v>32203497.930168316</c:v>
                </c:pt>
                <c:pt idx="2">
                  <c:v>43453205.290360317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3-4795-9E62-C6B6AE4A4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279487"/>
        <c:axId val="1244280447"/>
      </c:barChart>
      <c:catAx>
        <c:axId val="12442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4280447"/>
        <c:crosses val="autoZero"/>
        <c:auto val="1"/>
        <c:lblAlgn val="ctr"/>
        <c:lblOffset val="100"/>
        <c:noMultiLvlLbl val="0"/>
      </c:catAx>
      <c:valAx>
        <c:axId val="124428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42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</xdr:row>
      <xdr:rowOff>0</xdr:rowOff>
    </xdr:from>
    <xdr:to>
      <xdr:col>18</xdr:col>
      <xdr:colOff>0</xdr:colOff>
      <xdr:row>31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340950-B35E-215C-4AB7-C51D255C2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33</xdr:row>
      <xdr:rowOff>0</xdr:rowOff>
    </xdr:from>
    <xdr:to>
      <xdr:col>18</xdr:col>
      <xdr:colOff>0</xdr:colOff>
      <xdr:row>51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E0CBE1-FE36-739E-0DFE-C5230D924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2" name="hcResp">
          <a:extLst>
            <a:ext uri="{FF2B5EF4-FFF2-40B4-BE49-F238E27FC236}">
              <a16:creationId xmlns:a16="http://schemas.microsoft.com/office/drawing/2014/main" id="{6EEB18D7-B176-EAB3-11B1-0A800DE5E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3" name="econFunc">
          <a:extLst>
            <a:ext uri="{FF2B5EF4-FFF2-40B4-BE49-F238E27FC236}">
              <a16:creationId xmlns:a16="http://schemas.microsoft.com/office/drawing/2014/main" id="{94189CC1-9043-C2F6-F51B-4EC0D6D94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6</xdr:col>
      <xdr:colOff>0</xdr:colOff>
      <xdr:row>48</xdr:row>
      <xdr:rowOff>0</xdr:rowOff>
    </xdr:to>
    <xdr:graphicFrame macro="">
      <xdr:nvGraphicFramePr>
        <xdr:cNvPr id="4" name="redFunc">
          <a:extLst>
            <a:ext uri="{FF2B5EF4-FFF2-40B4-BE49-F238E27FC236}">
              <a16:creationId xmlns:a16="http://schemas.microsoft.com/office/drawing/2014/main" id="{C792F6F2-982C-CE03-47C8-5D68A3980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13</xdr:col>
      <xdr:colOff>0</xdr:colOff>
      <xdr:row>48</xdr:row>
      <xdr:rowOff>0</xdr:rowOff>
    </xdr:to>
    <xdr:graphicFrame macro="">
      <xdr:nvGraphicFramePr>
        <xdr:cNvPr id="5" name="compHC">
          <a:extLst>
            <a:ext uri="{FF2B5EF4-FFF2-40B4-BE49-F238E27FC236}">
              <a16:creationId xmlns:a16="http://schemas.microsoft.com/office/drawing/2014/main" id="{254D0C00-BE09-3C2A-C658-7A386B130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43</xdr:row>
      <xdr:rowOff>0</xdr:rowOff>
    </xdr:from>
    <xdr:to>
      <xdr:col>16</xdr:col>
      <xdr:colOff>0</xdr:colOff>
      <xdr:row>60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2F2EC3-D83B-48FE-3F41-42AAE0366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63</xdr:row>
      <xdr:rowOff>0</xdr:rowOff>
    </xdr:from>
    <xdr:to>
      <xdr:col>16</xdr:col>
      <xdr:colOff>0</xdr:colOff>
      <xdr:row>80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3E4E23-3B0C-9FCA-5036-0277A080B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84</xdr:row>
      <xdr:rowOff>0</xdr:rowOff>
    </xdr:from>
    <xdr:to>
      <xdr:col>9</xdr:col>
      <xdr:colOff>0</xdr:colOff>
      <xdr:row>99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5769A9-9E77-0AB8-572B-2EB6DC509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84</xdr:row>
      <xdr:rowOff>0</xdr:rowOff>
    </xdr:from>
    <xdr:to>
      <xdr:col>16</xdr:col>
      <xdr:colOff>0</xdr:colOff>
      <xdr:row>99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43269A0-4A11-4669-66FF-299502038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01%20-%20UMOE\Historico%20Umoe\Plano%20Diretor\Reestrutura&#231;&#227;o%20UMOE\Reestrutura&#231;&#227;o%20Umoe.xlsb" TargetMode="External"/><Relationship Id="rId1" Type="http://schemas.openxmlformats.org/officeDocument/2006/relationships/externalLinkPath" Target="Reestrutura&#231;&#227;o%20Umoe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riz Organograma"/>
      <sheetName val="Matriz"/>
      <sheetName val="Proposta de Redução HC"/>
      <sheetName val="Agrícola"/>
      <sheetName val="Manutenção"/>
      <sheetName val="MObra Agr"/>
      <sheetName val="Rescisão"/>
      <sheetName val="Automotiva"/>
      <sheetName val="Insumos"/>
      <sheetName val="Proposta de Redução Agr e Aut."/>
      <sheetName val="Análise Redução Baixa Critic."/>
      <sheetName val="Organograma Visual"/>
      <sheetName val="Apresentação Gerencial"/>
    </sheetNames>
    <sheetDataSet>
      <sheetData sheetId="0">
        <row r="4">
          <cell r="R4">
            <v>754</v>
          </cell>
          <cell r="S4">
            <v>213</v>
          </cell>
          <cell r="T4">
            <v>967</v>
          </cell>
        </row>
        <row r="5">
          <cell r="R5">
            <v>568</v>
          </cell>
          <cell r="S5">
            <v>164</v>
          </cell>
          <cell r="T5">
            <v>732</v>
          </cell>
        </row>
        <row r="6">
          <cell r="R6">
            <v>491</v>
          </cell>
          <cell r="S6">
            <v>163</v>
          </cell>
          <cell r="T6">
            <v>654</v>
          </cell>
        </row>
        <row r="7">
          <cell r="R7">
            <v>87</v>
          </cell>
          <cell r="S7">
            <v>18</v>
          </cell>
          <cell r="T7">
            <v>105</v>
          </cell>
        </row>
        <row r="8">
          <cell r="S8">
            <v>5</v>
          </cell>
        </row>
        <row r="9">
          <cell r="S9">
            <v>208</v>
          </cell>
        </row>
        <row r="182">
          <cell r="J182">
            <v>732</v>
          </cell>
        </row>
        <row r="183">
          <cell r="J183">
            <v>142</v>
          </cell>
        </row>
        <row r="184">
          <cell r="J184">
            <v>30</v>
          </cell>
        </row>
        <row r="185">
          <cell r="J185">
            <v>63</v>
          </cell>
        </row>
        <row r="191">
          <cell r="C191">
            <v>243</v>
          </cell>
          <cell r="D191">
            <v>243</v>
          </cell>
          <cell r="E191">
            <v>202</v>
          </cell>
          <cell r="F191">
            <v>26</v>
          </cell>
          <cell r="G191">
            <v>7</v>
          </cell>
        </row>
        <row r="192">
          <cell r="C192">
            <v>182</v>
          </cell>
          <cell r="D192">
            <v>98</v>
          </cell>
          <cell r="E192">
            <v>98</v>
          </cell>
          <cell r="F192">
            <v>2</v>
          </cell>
          <cell r="G192">
            <v>2</v>
          </cell>
        </row>
        <row r="193">
          <cell r="C193">
            <v>123</v>
          </cell>
          <cell r="D193">
            <v>87</v>
          </cell>
          <cell r="E193">
            <v>87</v>
          </cell>
          <cell r="F193">
            <v>19</v>
          </cell>
          <cell r="G193">
            <v>16</v>
          </cell>
        </row>
        <row r="194">
          <cell r="C194">
            <v>120</v>
          </cell>
          <cell r="D194">
            <v>118</v>
          </cell>
          <cell r="E194">
            <v>84</v>
          </cell>
          <cell r="F194">
            <v>3</v>
          </cell>
          <cell r="G194">
            <v>1</v>
          </cell>
        </row>
        <row r="195">
          <cell r="C195">
            <v>34</v>
          </cell>
          <cell r="D195">
            <v>4</v>
          </cell>
          <cell r="E195">
            <v>2</v>
          </cell>
          <cell r="F195">
            <v>26</v>
          </cell>
          <cell r="G195">
            <v>1</v>
          </cell>
        </row>
        <row r="196">
          <cell r="C196">
            <v>32</v>
          </cell>
          <cell r="D196">
            <v>18</v>
          </cell>
          <cell r="E196">
            <v>18</v>
          </cell>
          <cell r="F196">
            <v>9</v>
          </cell>
          <cell r="G196">
            <v>7</v>
          </cell>
        </row>
        <row r="197">
          <cell r="C197">
            <v>12</v>
          </cell>
          <cell r="D197">
            <v>0</v>
          </cell>
          <cell r="E197">
            <v>0</v>
          </cell>
          <cell r="F197">
            <v>1</v>
          </cell>
          <cell r="G197">
            <v>1</v>
          </cell>
        </row>
        <row r="198">
          <cell r="C198">
            <v>7</v>
          </cell>
          <cell r="D198">
            <v>0</v>
          </cell>
          <cell r="E198">
            <v>0</v>
          </cell>
          <cell r="F198">
            <v>1</v>
          </cell>
          <cell r="G198">
            <v>1</v>
          </cell>
        </row>
        <row r="199">
          <cell r="C199">
            <v>1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</row>
        <row r="200">
          <cell r="C200">
            <v>76</v>
          </cell>
          <cell r="D200">
            <v>69</v>
          </cell>
          <cell r="E200">
            <v>66</v>
          </cell>
          <cell r="F200">
            <v>2</v>
          </cell>
          <cell r="G200">
            <v>0</v>
          </cell>
        </row>
        <row r="201">
          <cell r="C201">
            <v>60</v>
          </cell>
          <cell r="D201">
            <v>33</v>
          </cell>
          <cell r="E201">
            <v>36</v>
          </cell>
          <cell r="F201">
            <v>9</v>
          </cell>
          <cell r="G201">
            <v>4</v>
          </cell>
        </row>
        <row r="202">
          <cell r="C202">
            <v>50</v>
          </cell>
          <cell r="D202">
            <v>39</v>
          </cell>
          <cell r="E202">
            <v>39</v>
          </cell>
          <cell r="F202">
            <v>6</v>
          </cell>
          <cell r="G202">
            <v>1</v>
          </cell>
        </row>
        <row r="203">
          <cell r="C203">
            <v>27</v>
          </cell>
          <cell r="D203">
            <v>23</v>
          </cell>
          <cell r="E203">
            <v>22</v>
          </cell>
          <cell r="F203">
            <v>1</v>
          </cell>
          <cell r="G203">
            <v>0</v>
          </cell>
        </row>
      </sheetData>
      <sheetData sheetId="1"/>
      <sheetData sheetId="2">
        <row r="1">
          <cell r="E1" t="str">
            <v>DE_CARGO</v>
          </cell>
          <cell r="F1" t="str">
            <v>Salário</v>
          </cell>
          <cell r="G1" t="str">
            <v>Indenização</v>
          </cell>
          <cell r="AA1" t="str">
            <v>Economia</v>
          </cell>
        </row>
        <row r="2">
          <cell r="E2" t="str">
            <v>Lider Producao Agricola I</v>
          </cell>
          <cell r="F2">
            <v>3705.86</v>
          </cell>
          <cell r="G2">
            <v>38476.0402301016</v>
          </cell>
          <cell r="AA2">
            <v>-19891.254769898402</v>
          </cell>
        </row>
        <row r="3">
          <cell r="E3" t="str">
            <v>Lider Producao Agricola I</v>
          </cell>
          <cell r="F3">
            <v>3705.86</v>
          </cell>
          <cell r="G3">
            <v>25608.346692932599</v>
          </cell>
          <cell r="AA3">
            <v>-32758.948307067301</v>
          </cell>
        </row>
        <row r="4">
          <cell r="E4" t="str">
            <v>Trainee</v>
          </cell>
          <cell r="F4">
            <v>5830.81</v>
          </cell>
          <cell r="G4">
            <v>11028.559923603199</v>
          </cell>
          <cell r="AA4">
            <v>-72935.104076396805</v>
          </cell>
        </row>
        <row r="5">
          <cell r="E5" t="str">
            <v>Trainee</v>
          </cell>
          <cell r="F5">
            <v>5830.81</v>
          </cell>
          <cell r="G5">
            <v>11029.559923603199</v>
          </cell>
          <cell r="AA5">
            <v>-72934.104076396805</v>
          </cell>
        </row>
        <row r="6">
          <cell r="E6" t="str">
            <v>Operador de Maquinas Agricola I</v>
          </cell>
          <cell r="F6">
            <v>2275.15</v>
          </cell>
          <cell r="G6">
            <v>4327.4554412827702</v>
          </cell>
          <cell r="AA6">
            <v>0</v>
          </cell>
        </row>
        <row r="7">
          <cell r="E7" t="str">
            <v>Operador de Maquinas Agricola I</v>
          </cell>
          <cell r="F7">
            <v>2275.15</v>
          </cell>
          <cell r="G7">
            <v>4326.4554412827702</v>
          </cell>
          <cell r="AA7">
            <v>0</v>
          </cell>
        </row>
        <row r="8">
          <cell r="E8" t="str">
            <v>Lider de Operacao Turma</v>
          </cell>
          <cell r="F8">
            <v>3755.23</v>
          </cell>
          <cell r="G8">
            <v>17523.1630361674</v>
          </cell>
          <cell r="AA8">
            <v>-41621.709463832602</v>
          </cell>
        </row>
        <row r="9">
          <cell r="E9" t="str">
            <v>Motorista II</v>
          </cell>
          <cell r="F9">
            <v>2388.91</v>
          </cell>
          <cell r="G9">
            <v>4459.4124393797101</v>
          </cell>
          <cell r="AA9">
            <v>0</v>
          </cell>
        </row>
        <row r="10">
          <cell r="E10" t="str">
            <v>Auxiliar Agricola</v>
          </cell>
          <cell r="F10">
            <v>1931</v>
          </cell>
          <cell r="G10">
            <v>3733.0304137596199</v>
          </cell>
          <cell r="AA10">
            <v>-26680.219586240401</v>
          </cell>
        </row>
        <row r="11">
          <cell r="E11" t="str">
            <v>Auxiliar Agricola</v>
          </cell>
          <cell r="F11">
            <v>1931</v>
          </cell>
          <cell r="G11">
            <v>3737.0304137596199</v>
          </cell>
          <cell r="AA11">
            <v>-26676.219586240401</v>
          </cell>
        </row>
        <row r="12">
          <cell r="E12" t="str">
            <v>Auxiliar Agricola</v>
          </cell>
          <cell r="F12">
            <v>1931</v>
          </cell>
          <cell r="G12">
            <v>3736.0304137596199</v>
          </cell>
          <cell r="AA12">
            <v>-26677.219586240401</v>
          </cell>
        </row>
        <row r="13">
          <cell r="E13" t="str">
            <v>Analista Controle Agricola SR</v>
          </cell>
          <cell r="F13">
            <v>8198.66</v>
          </cell>
          <cell r="G13">
            <v>0</v>
          </cell>
          <cell r="AA13">
            <v>-118060.704</v>
          </cell>
        </row>
        <row r="14">
          <cell r="E14" t="str">
            <v>Gestor de Processo Agricola</v>
          </cell>
          <cell r="F14">
            <v>7704.22</v>
          </cell>
          <cell r="G14">
            <v>0</v>
          </cell>
          <cell r="AA14">
            <v>-121341.465</v>
          </cell>
        </row>
        <row r="15">
          <cell r="E15" t="str">
            <v>Assistente Administrativo</v>
          </cell>
          <cell r="F15">
            <v>2275.15</v>
          </cell>
          <cell r="G15">
            <v>0</v>
          </cell>
          <cell r="AA15">
            <v>-35833.612500000003</v>
          </cell>
        </row>
        <row r="16">
          <cell r="E16" t="str">
            <v>Operador de Maquinas Agricola III</v>
          </cell>
          <cell r="F16">
            <v>3201.28</v>
          </cell>
          <cell r="G16">
            <v>5870.6179421940196</v>
          </cell>
          <cell r="AA16">
            <v>0</v>
          </cell>
        </row>
        <row r="17">
          <cell r="E17" t="str">
            <v>Operador de Maquinas Agricola III</v>
          </cell>
          <cell r="F17">
            <v>3201.28</v>
          </cell>
          <cell r="G17">
            <v>5883.1708568972199</v>
          </cell>
          <cell r="AA17">
            <v>0</v>
          </cell>
        </row>
        <row r="18">
          <cell r="E18" t="str">
            <v>Operador de Maquinas Agricola II</v>
          </cell>
          <cell r="F18">
            <v>2275.15</v>
          </cell>
          <cell r="G18">
            <v>4193.8779807804904</v>
          </cell>
          <cell r="AA18">
            <v>0</v>
          </cell>
        </row>
        <row r="19">
          <cell r="E19" t="str">
            <v>Operador de Maquinas Agricola II</v>
          </cell>
          <cell r="F19">
            <v>2275.15</v>
          </cell>
          <cell r="G19">
            <v>4232.2557008718104</v>
          </cell>
          <cell r="AA19">
            <v>0</v>
          </cell>
        </row>
        <row r="20">
          <cell r="E20" t="str">
            <v>Operador de Maquinas Agricola II</v>
          </cell>
          <cell r="F20">
            <v>2275.15</v>
          </cell>
          <cell r="G20">
            <v>4230.2557008718104</v>
          </cell>
          <cell r="AA20">
            <v>0</v>
          </cell>
        </row>
        <row r="21">
          <cell r="E21" t="str">
            <v>Operador de Maquinas Agricola II</v>
          </cell>
          <cell r="F21">
            <v>2275.15</v>
          </cell>
          <cell r="G21">
            <v>4211.5668408261499</v>
          </cell>
          <cell r="AA21">
            <v>0</v>
          </cell>
        </row>
        <row r="22">
          <cell r="E22" t="str">
            <v>Motorista III</v>
          </cell>
          <cell r="F22">
            <v>2817.1</v>
          </cell>
          <cell r="G22">
            <v>5039.9969714773597</v>
          </cell>
          <cell r="AA22">
            <v>0</v>
          </cell>
        </row>
        <row r="23">
          <cell r="E23" t="str">
            <v>Motorista III</v>
          </cell>
          <cell r="F23">
            <v>3048.82</v>
          </cell>
          <cell r="G23">
            <v>33977.6437236856</v>
          </cell>
          <cell r="AA23">
            <v>0</v>
          </cell>
        </row>
        <row r="24">
          <cell r="E24" t="str">
            <v>Motorista III</v>
          </cell>
          <cell r="F24">
            <v>3048.82</v>
          </cell>
          <cell r="G24">
            <v>31761.624916470999</v>
          </cell>
          <cell r="AA24">
            <v>0</v>
          </cell>
        </row>
        <row r="25">
          <cell r="E25" t="str">
            <v>Motorista III</v>
          </cell>
          <cell r="F25">
            <v>3048.82</v>
          </cell>
          <cell r="G25">
            <v>19009.037326334001</v>
          </cell>
          <cell r="AA25">
            <v>0</v>
          </cell>
        </row>
        <row r="26">
          <cell r="E26" t="str">
            <v>Auxiliar Agricola</v>
          </cell>
          <cell r="F26">
            <v>1931</v>
          </cell>
          <cell r="G26">
            <v>3684.5126512025399</v>
          </cell>
          <cell r="AA26">
            <v>-26728.737348797498</v>
          </cell>
        </row>
        <row r="27">
          <cell r="E27" t="str">
            <v>Auxiliar Agricola</v>
          </cell>
          <cell r="F27">
            <v>1931</v>
          </cell>
          <cell r="G27">
            <v>3681.5126512025399</v>
          </cell>
          <cell r="AA27">
            <v>-26731.737348797498</v>
          </cell>
        </row>
        <row r="28">
          <cell r="E28" t="str">
            <v>Operador de Maquinas Agricola III</v>
          </cell>
          <cell r="F28">
            <v>3201.28</v>
          </cell>
          <cell r="G28">
            <v>28639.695653974799</v>
          </cell>
          <cell r="AA28">
            <v>0</v>
          </cell>
        </row>
        <row r="29">
          <cell r="E29" t="str">
            <v>Lider Producao Agricola II</v>
          </cell>
          <cell r="F29">
            <v>4504.51</v>
          </cell>
          <cell r="G29">
            <v>7815.6158503527304</v>
          </cell>
          <cell r="AA29">
            <v>-63130.416649647297</v>
          </cell>
        </row>
        <row r="30">
          <cell r="E30" t="str">
            <v>Auxiliar Agricola</v>
          </cell>
          <cell r="F30">
            <v>1931</v>
          </cell>
          <cell r="G30">
            <v>3811.2892950381602</v>
          </cell>
          <cell r="AA30">
            <v>-26601.960704961799</v>
          </cell>
        </row>
        <row r="31">
          <cell r="E31" t="str">
            <v>Auxiliar Agricola</v>
          </cell>
          <cell r="F31">
            <v>1931</v>
          </cell>
          <cell r="G31">
            <v>5574.0957836226398</v>
          </cell>
          <cell r="AA31">
            <v>-24839.154216377399</v>
          </cell>
        </row>
        <row r="32">
          <cell r="E32" t="str">
            <v>Auxiliar Agricola</v>
          </cell>
          <cell r="F32">
            <v>1931</v>
          </cell>
          <cell r="G32">
            <v>14217.366409193401</v>
          </cell>
          <cell r="AA32">
            <v>-16195.883590806599</v>
          </cell>
        </row>
        <row r="33">
          <cell r="E33" t="str">
            <v>Auxiliar Agricola</v>
          </cell>
          <cell r="F33">
            <v>1931</v>
          </cell>
          <cell r="G33">
            <v>3799.9410712938702</v>
          </cell>
          <cell r="AA33">
            <v>-26613.308928706101</v>
          </cell>
        </row>
        <row r="34">
          <cell r="E34" t="str">
            <v>Auxiliar Agricola</v>
          </cell>
          <cell r="F34">
            <v>1931</v>
          </cell>
          <cell r="G34">
            <v>16120.115614672901</v>
          </cell>
          <cell r="AA34">
            <v>-14293.134385327099</v>
          </cell>
        </row>
        <row r="35">
          <cell r="E35" t="str">
            <v>Auxiliar Agricola</v>
          </cell>
          <cell r="F35">
            <v>1931</v>
          </cell>
          <cell r="G35">
            <v>3865.69480188748</v>
          </cell>
          <cell r="AA35">
            <v>-26547.555198112499</v>
          </cell>
        </row>
        <row r="36">
          <cell r="E36" t="str">
            <v>Controlador de Trafego I</v>
          </cell>
          <cell r="F36">
            <v>3361.31</v>
          </cell>
          <cell r="G36">
            <v>6824.3287513489904</v>
          </cell>
          <cell r="AA36">
            <v>-46116.303748651</v>
          </cell>
        </row>
        <row r="37">
          <cell r="E37" t="str">
            <v>Controlador de Trafego I</v>
          </cell>
          <cell r="F37">
            <v>3361.31</v>
          </cell>
          <cell r="G37">
            <v>7624.5895878786696</v>
          </cell>
          <cell r="AA37">
            <v>-45316.042912121302</v>
          </cell>
        </row>
        <row r="38">
          <cell r="E38" t="str">
            <v>Controlador de Trafego I</v>
          </cell>
          <cell r="F38">
            <v>3361.31</v>
          </cell>
          <cell r="G38">
            <v>7655.0197494768499</v>
          </cell>
          <cell r="AA38">
            <v>-45285.612750523098</v>
          </cell>
        </row>
        <row r="39">
          <cell r="E39" t="str">
            <v>Motorista Brigadista</v>
          </cell>
          <cell r="F39">
            <v>2817.1</v>
          </cell>
          <cell r="G39">
            <v>11370.477723075501</v>
          </cell>
          <cell r="AA39">
            <v>0</v>
          </cell>
        </row>
        <row r="40">
          <cell r="E40" t="str">
            <v>Motorista Brigadista</v>
          </cell>
          <cell r="F40">
            <v>2817.1</v>
          </cell>
          <cell r="G40">
            <v>39585.985330381503</v>
          </cell>
          <cell r="AA40">
            <v>0</v>
          </cell>
        </row>
        <row r="41">
          <cell r="E41" t="str">
            <v>Motorista Brigadista</v>
          </cell>
          <cell r="F41">
            <v>2817.1</v>
          </cell>
          <cell r="G41">
            <v>23517.336974673701</v>
          </cell>
          <cell r="AA41">
            <v>0</v>
          </cell>
        </row>
        <row r="42">
          <cell r="E42" t="str">
            <v>Motorista Brigadista</v>
          </cell>
          <cell r="F42">
            <v>2817.1</v>
          </cell>
          <cell r="G42">
            <v>28095.330290198799</v>
          </cell>
          <cell r="AA42">
            <v>0</v>
          </cell>
        </row>
        <row r="43">
          <cell r="E43" t="str">
            <v>Motorista Brigadista</v>
          </cell>
          <cell r="F43">
            <v>2817.1</v>
          </cell>
          <cell r="G43">
            <v>32246.269254582399</v>
          </cell>
          <cell r="AA43">
            <v>0</v>
          </cell>
        </row>
        <row r="44">
          <cell r="E44" t="str">
            <v>Motorista Brigadista</v>
          </cell>
          <cell r="F44">
            <v>2817.1</v>
          </cell>
          <cell r="G44">
            <v>9817.3037262718808</v>
          </cell>
          <cell r="AA44">
            <v>0</v>
          </cell>
        </row>
        <row r="45">
          <cell r="E45" t="str">
            <v>Motorista Brigadista</v>
          </cell>
          <cell r="F45">
            <v>2817.1</v>
          </cell>
          <cell r="G45">
            <v>25273.5093965915</v>
          </cell>
          <cell r="AA45">
            <v>0</v>
          </cell>
        </row>
        <row r="46">
          <cell r="E46" t="str">
            <v>Motorista Brigadista</v>
          </cell>
          <cell r="F46">
            <v>2817.1</v>
          </cell>
          <cell r="G46">
            <v>18465.980814856299</v>
          </cell>
          <cell r="AA46">
            <v>0</v>
          </cell>
        </row>
        <row r="47">
          <cell r="E47" t="str">
            <v>Motorista Brigadista</v>
          </cell>
          <cell r="F47">
            <v>2817.1</v>
          </cell>
          <cell r="G47">
            <v>34856.923419422601</v>
          </cell>
          <cell r="AA47">
            <v>0</v>
          </cell>
        </row>
        <row r="48">
          <cell r="E48" t="str">
            <v>Auxiliar Agricola</v>
          </cell>
          <cell r="F48">
            <v>1931</v>
          </cell>
          <cell r="G48">
            <v>4941.6100804262896</v>
          </cell>
          <cell r="AA48">
            <v>-25471.639919573699</v>
          </cell>
        </row>
        <row r="49">
          <cell r="E49" t="str">
            <v>Auxiliar Agricola</v>
          </cell>
          <cell r="F49">
            <v>1931</v>
          </cell>
          <cell r="G49">
            <v>4170.1232219787998</v>
          </cell>
          <cell r="AA49">
            <v>-26243.1267780212</v>
          </cell>
        </row>
        <row r="50">
          <cell r="E50" t="str">
            <v>Auxiliar Agricola</v>
          </cell>
          <cell r="F50">
            <v>1931</v>
          </cell>
          <cell r="G50">
            <v>5574.0957836226398</v>
          </cell>
          <cell r="AA50">
            <v>-24839.154216377399</v>
          </cell>
        </row>
        <row r="51">
          <cell r="E51" t="str">
            <v>Auxiliar Agricola</v>
          </cell>
          <cell r="F51">
            <v>1931</v>
          </cell>
          <cell r="G51">
            <v>3684.3442676408999</v>
          </cell>
          <cell r="AA51">
            <v>-26728.905732359101</v>
          </cell>
        </row>
        <row r="52">
          <cell r="E52" t="str">
            <v>Auxiliar Agricola</v>
          </cell>
          <cell r="F52">
            <v>1931</v>
          </cell>
          <cell r="G52">
            <v>6137.1542219787998</v>
          </cell>
          <cell r="AA52">
            <v>-24276.095778021201</v>
          </cell>
        </row>
        <row r="53">
          <cell r="E53" t="str">
            <v>Auxiliar Agricola</v>
          </cell>
          <cell r="F53">
            <v>1931</v>
          </cell>
          <cell r="G53">
            <v>6751.9881489194404</v>
          </cell>
          <cell r="AA53">
            <v>-23661.261851080599</v>
          </cell>
        </row>
        <row r="54">
          <cell r="E54" t="str">
            <v>Auxiliar Agricola</v>
          </cell>
          <cell r="F54">
            <v>1931</v>
          </cell>
          <cell r="G54">
            <v>5318.4543087367902</v>
          </cell>
          <cell r="AA54">
            <v>-25094.7956912632</v>
          </cell>
        </row>
        <row r="55">
          <cell r="E55" t="str">
            <v>Auxiliar Agricola</v>
          </cell>
          <cell r="F55">
            <v>1931</v>
          </cell>
          <cell r="G55">
            <v>4250.1461352208098</v>
          </cell>
          <cell r="AA55">
            <v>-26163.103864779201</v>
          </cell>
        </row>
        <row r="56">
          <cell r="E56" t="str">
            <v>Auxiliar Agricola</v>
          </cell>
          <cell r="F56">
            <v>1931</v>
          </cell>
          <cell r="G56">
            <v>4508.5069708372503</v>
          </cell>
          <cell r="AA56">
            <v>-25904.743029162801</v>
          </cell>
        </row>
        <row r="57">
          <cell r="E57" t="str">
            <v>Lider Producao Agricola II</v>
          </cell>
          <cell r="F57">
            <v>4504.51</v>
          </cell>
          <cell r="G57">
            <v>10183.104273183801</v>
          </cell>
          <cell r="AA57">
            <v>-60762.928226816199</v>
          </cell>
        </row>
        <row r="58">
          <cell r="E58" t="str">
            <v>Lider Producao Agricola I</v>
          </cell>
          <cell r="F58">
            <v>3705.86</v>
          </cell>
          <cell r="G58">
            <v>27115.768704439499</v>
          </cell>
          <cell r="AA58">
            <v>-31251.526295560499</v>
          </cell>
        </row>
        <row r="59">
          <cell r="E59" t="str">
            <v>Lider Producao Agricola II</v>
          </cell>
          <cell r="F59">
            <v>4261.74</v>
          </cell>
          <cell r="G59">
            <v>43447.572807103003</v>
          </cell>
          <cell r="AA59">
            <v>-23674.832192897</v>
          </cell>
        </row>
        <row r="60">
          <cell r="E60" t="str">
            <v>Auxiliar Agricola</v>
          </cell>
          <cell r="F60">
            <v>1931</v>
          </cell>
          <cell r="G60">
            <v>4146.5837014308499</v>
          </cell>
          <cell r="AA60">
            <v>-26266.6662985691</v>
          </cell>
        </row>
        <row r="61">
          <cell r="E61" t="str">
            <v>Auxiliar Agricola</v>
          </cell>
          <cell r="F61">
            <v>1931</v>
          </cell>
          <cell r="G61">
            <v>4403.596313303</v>
          </cell>
          <cell r="AA61">
            <v>-26009.653686696998</v>
          </cell>
        </row>
        <row r="62">
          <cell r="E62" t="str">
            <v>Auxiliar Agricola</v>
          </cell>
          <cell r="F62">
            <v>1931</v>
          </cell>
          <cell r="G62">
            <v>20139.187916042702</v>
          </cell>
          <cell r="AA62">
            <v>-10274.0620839573</v>
          </cell>
        </row>
        <row r="63">
          <cell r="E63" t="str">
            <v>Auxiliar Agricola</v>
          </cell>
          <cell r="F63">
            <v>1931</v>
          </cell>
          <cell r="G63">
            <v>18051.115614672901</v>
          </cell>
          <cell r="AA63">
            <v>-12362.134385327099</v>
          </cell>
        </row>
        <row r="64">
          <cell r="E64" t="str">
            <v>Auxiliar Agricola</v>
          </cell>
          <cell r="F64">
            <v>1931</v>
          </cell>
          <cell r="G64">
            <v>19589.073349832699</v>
          </cell>
          <cell r="AA64">
            <v>-10824.176650167299</v>
          </cell>
        </row>
        <row r="65">
          <cell r="E65" t="str">
            <v>Auxiliar Agricola</v>
          </cell>
          <cell r="F65">
            <v>1931</v>
          </cell>
          <cell r="G65">
            <v>19867.366600974201</v>
          </cell>
          <cell r="AA65">
            <v>-10545.883399025801</v>
          </cell>
        </row>
        <row r="66">
          <cell r="E66" t="str">
            <v>Administrador de Ã¿Ârea</v>
          </cell>
          <cell r="F66">
            <v>12623.28</v>
          </cell>
          <cell r="G66">
            <v>105697.28689556201</v>
          </cell>
          <cell r="AA66">
            <v>-76077.945104438098</v>
          </cell>
        </row>
        <row r="67">
          <cell r="E67" t="str">
            <v>Trabalhador Rural</v>
          </cell>
          <cell r="F67">
            <v>1688</v>
          </cell>
          <cell r="G67">
            <v>0</v>
          </cell>
          <cell r="AA67">
            <v>-477535.2</v>
          </cell>
        </row>
        <row r="68">
          <cell r="E68" t="str">
            <v>Trainee</v>
          </cell>
          <cell r="F68">
            <v>5830.81</v>
          </cell>
          <cell r="G68">
            <v>10172.0079948361</v>
          </cell>
          <cell r="AA68">
            <v>-73791.656005163895</v>
          </cell>
        </row>
        <row r="69">
          <cell r="E69" t="str">
            <v>Auxiliar ADM</v>
          </cell>
          <cell r="F69">
            <v>1931</v>
          </cell>
          <cell r="G69">
            <v>4183.5390301979796</v>
          </cell>
          <cell r="AA69">
            <v>-23622.860969802001</v>
          </cell>
        </row>
        <row r="70">
          <cell r="E70" t="str">
            <v>Oficial Manutenção</v>
          </cell>
          <cell r="F70">
            <v>2699.53</v>
          </cell>
          <cell r="G70">
            <v>5161.9983638707199</v>
          </cell>
          <cell r="AA70">
            <v>-37355.599136129298</v>
          </cell>
        </row>
        <row r="71">
          <cell r="E71" t="str">
            <v>Auxiliar Manutenção</v>
          </cell>
          <cell r="F71">
            <v>1931</v>
          </cell>
          <cell r="G71">
            <v>4180.5390301979796</v>
          </cell>
          <cell r="AA71">
            <v>-26232.710969801999</v>
          </cell>
        </row>
        <row r="72">
          <cell r="E72" t="str">
            <v>Mecânico Transbordo</v>
          </cell>
          <cell r="F72">
            <v>4024.78</v>
          </cell>
          <cell r="G72">
            <v>33253.329150880199</v>
          </cell>
          <cell r="AA72">
            <v>0</v>
          </cell>
        </row>
        <row r="73">
          <cell r="E73" t="str">
            <v>Mecânico Hidraulica</v>
          </cell>
          <cell r="F73">
            <v>3891.97</v>
          </cell>
          <cell r="G73">
            <v>32673.043243590899</v>
          </cell>
          <cell r="AA73">
            <v>0</v>
          </cell>
        </row>
        <row r="74">
          <cell r="E74" t="str">
            <v>Mecânico Hidraulica</v>
          </cell>
          <cell r="F74">
            <v>4085.72</v>
          </cell>
          <cell r="G74">
            <v>25884.798714864301</v>
          </cell>
          <cell r="AA74">
            <v>0</v>
          </cell>
        </row>
        <row r="75">
          <cell r="E75" t="str">
            <v>Mecânico Caminhões Turno C - Interna</v>
          </cell>
          <cell r="F75">
            <v>4085.72</v>
          </cell>
          <cell r="G75">
            <v>22625.7000927638</v>
          </cell>
          <cell r="AA75">
            <v>0</v>
          </cell>
        </row>
        <row r="76">
          <cell r="E76" t="str">
            <v>Auxiliar Elétrica</v>
          </cell>
          <cell r="F76">
            <v>1931</v>
          </cell>
          <cell r="G76">
            <v>4177.5390301979796</v>
          </cell>
          <cell r="AA76">
            <v>0</v>
          </cell>
        </row>
        <row r="77">
          <cell r="E77" t="str">
            <v>Lavador</v>
          </cell>
          <cell r="F77">
            <v>2508.2600000000002</v>
          </cell>
          <cell r="G77">
            <v>8989.0251435259306</v>
          </cell>
          <cell r="AA77">
            <v>-30516.0698564741</v>
          </cell>
        </row>
        <row r="78">
          <cell r="E78" t="str">
            <v>Motorista Lubrificador</v>
          </cell>
          <cell r="F78">
            <v>3284.9</v>
          </cell>
          <cell r="G78">
            <v>25727.073904947902</v>
          </cell>
          <cell r="AA78">
            <v>0</v>
          </cell>
        </row>
        <row r="79">
          <cell r="E79" t="str">
            <v>Motorista Lubrificador</v>
          </cell>
          <cell r="F79">
            <v>3284.9</v>
          </cell>
          <cell r="G79">
            <v>22015.331899011799</v>
          </cell>
          <cell r="AA79">
            <v>0</v>
          </cell>
        </row>
        <row r="80">
          <cell r="E80" t="str">
            <v>Motorista Lubrificador</v>
          </cell>
          <cell r="F80">
            <v>3284.9</v>
          </cell>
          <cell r="G80">
            <v>15433.0372793771</v>
          </cell>
          <cell r="AA80">
            <v>0</v>
          </cell>
        </row>
        <row r="81">
          <cell r="E81" t="str">
            <v>Lider de Manutenção</v>
          </cell>
          <cell r="F81">
            <v>5214.5200000000004</v>
          </cell>
          <cell r="G81">
            <v>44099.159284310597</v>
          </cell>
          <cell r="AA81">
            <v>-38029.530715689398</v>
          </cell>
        </row>
        <row r="82">
          <cell r="E82" t="str">
            <v>Motorista Entrega Peças</v>
          </cell>
          <cell r="F82">
            <v>3048.82</v>
          </cell>
          <cell r="G82">
            <v>12377.283042681</v>
          </cell>
          <cell r="AA82">
            <v>0</v>
          </cell>
        </row>
        <row r="83">
          <cell r="E83" t="str">
            <v>Mecânico Campo Folguista Preparo</v>
          </cell>
          <cell r="F83">
            <v>3705.86</v>
          </cell>
          <cell r="G83">
            <v>14634.787580877901</v>
          </cell>
          <cell r="AA83">
            <v>0</v>
          </cell>
        </row>
        <row r="84">
          <cell r="E84" t="str">
            <v>Mecânico Campo Folguista Adubação</v>
          </cell>
          <cell r="F84">
            <v>3705.86</v>
          </cell>
          <cell r="G84">
            <v>12368.0365475445</v>
          </cell>
          <cell r="AA84">
            <v>0</v>
          </cell>
        </row>
        <row r="85">
          <cell r="E85" t="str">
            <v>Mecânico Campo Folguista Plantio</v>
          </cell>
          <cell r="F85">
            <v>3705.86</v>
          </cell>
          <cell r="G85">
            <v>12119.625475398399</v>
          </cell>
          <cell r="AA85">
            <v>0</v>
          </cell>
        </row>
        <row r="86">
          <cell r="E86" t="str">
            <v>Mecânico Colheta de Muda</v>
          </cell>
          <cell r="F86">
            <v>4085.72</v>
          </cell>
          <cell r="G86">
            <v>0</v>
          </cell>
          <cell r="AA86">
            <v>0</v>
          </cell>
        </row>
        <row r="87">
          <cell r="E87" t="str">
            <v>Mecânico Colheta de Muda</v>
          </cell>
          <cell r="F87">
            <v>4085.72</v>
          </cell>
          <cell r="G87">
            <v>0</v>
          </cell>
          <cell r="AA87">
            <v>0</v>
          </cell>
        </row>
        <row r="88">
          <cell r="E88" t="str">
            <v>Mecânico Colheta de Muda</v>
          </cell>
          <cell r="F88">
            <v>4085.72</v>
          </cell>
          <cell r="G88">
            <v>0</v>
          </cell>
          <cell r="AA88">
            <v>0</v>
          </cell>
        </row>
        <row r="89">
          <cell r="E89" t="str">
            <v>Mecânico Colheta de Muda</v>
          </cell>
          <cell r="F89">
            <v>4085.72</v>
          </cell>
          <cell r="G89">
            <v>0</v>
          </cell>
          <cell r="AA89">
            <v>0</v>
          </cell>
        </row>
        <row r="90">
          <cell r="AA90">
            <v>-3442598.7967437799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">
          <cell r="F3">
            <v>3223174.5</v>
          </cell>
          <cell r="J3">
            <v>15742</v>
          </cell>
          <cell r="K3">
            <v>31484</v>
          </cell>
          <cell r="L3">
            <v>47226</v>
          </cell>
          <cell r="M3">
            <v>62968</v>
          </cell>
          <cell r="N3">
            <v>6649638.4174079988</v>
          </cell>
          <cell r="O3">
            <v>9974457.6261119992</v>
          </cell>
          <cell r="P3">
            <v>13299276.834815998</v>
          </cell>
        </row>
        <row r="4">
          <cell r="F4">
            <v>1609650</v>
          </cell>
          <cell r="J4">
            <v>4500</v>
          </cell>
          <cell r="K4">
            <v>6750</v>
          </cell>
          <cell r="L4">
            <v>16875</v>
          </cell>
          <cell r="M4">
            <v>27000</v>
          </cell>
          <cell r="N4">
            <v>1425646.6560000002</v>
          </cell>
          <cell r="O4">
            <v>3564116.6399999997</v>
          </cell>
          <cell r="P4">
            <v>5702586.6240000008</v>
          </cell>
        </row>
        <row r="5">
          <cell r="F5">
            <v>1134000</v>
          </cell>
          <cell r="J5">
            <v>4200</v>
          </cell>
          <cell r="K5">
            <v>7000</v>
          </cell>
          <cell r="L5">
            <v>14000</v>
          </cell>
          <cell r="M5">
            <v>21000</v>
          </cell>
          <cell r="N5">
            <v>1478448.3840000001</v>
          </cell>
          <cell r="O5">
            <v>2956896.7680000002</v>
          </cell>
          <cell r="P5">
            <v>4435345.1519999998</v>
          </cell>
        </row>
        <row r="6">
          <cell r="F6">
            <v>297894.45</v>
          </cell>
          <cell r="J6">
            <v>1124.1300000000001</v>
          </cell>
          <cell r="K6">
            <v>3372.3900000000003</v>
          </cell>
          <cell r="L6">
            <v>4496.5200000000004</v>
          </cell>
          <cell r="M6">
            <v>5620.6500000000005</v>
          </cell>
          <cell r="N6">
            <v>712272.07795968</v>
          </cell>
          <cell r="O6">
            <v>949696.10394623992</v>
          </cell>
          <cell r="P6">
            <v>1187120.1299328001</v>
          </cell>
        </row>
        <row r="7">
          <cell r="F7">
            <v>94704.814400000003</v>
          </cell>
          <cell r="J7">
            <v>1412.24</v>
          </cell>
          <cell r="K7">
            <v>4236.72</v>
          </cell>
          <cell r="L7">
            <v>4942.84</v>
          </cell>
          <cell r="M7">
            <v>5648.96</v>
          </cell>
          <cell r="N7">
            <v>894824.54820863996</v>
          </cell>
          <cell r="O7">
            <v>1043961.97291008</v>
          </cell>
          <cell r="P7">
            <v>1193099.39761152</v>
          </cell>
        </row>
        <row r="8">
          <cell r="F8">
            <v>889600</v>
          </cell>
          <cell r="K8">
            <v>41700</v>
          </cell>
          <cell r="L8">
            <v>55600</v>
          </cell>
          <cell r="M8">
            <v>69500</v>
          </cell>
          <cell r="N8">
            <v>8807328.2303999998</v>
          </cell>
          <cell r="O8">
            <v>11743104.3072</v>
          </cell>
          <cell r="P8">
            <v>14678880.384</v>
          </cell>
        </row>
        <row r="9">
          <cell r="F9">
            <v>431456</v>
          </cell>
        </row>
        <row r="10">
          <cell r="F10">
            <v>93894.5</v>
          </cell>
        </row>
        <row r="11">
          <cell r="F11">
            <v>252424</v>
          </cell>
        </row>
        <row r="12">
          <cell r="F12">
            <v>18480</v>
          </cell>
        </row>
        <row r="13">
          <cell r="F13">
            <v>31169.599999999999</v>
          </cell>
        </row>
        <row r="14">
          <cell r="F14">
            <v>69366</v>
          </cell>
        </row>
        <row r="15">
          <cell r="F15">
            <v>392000</v>
          </cell>
          <cell r="J15">
            <v>7000</v>
          </cell>
          <cell r="K15">
            <v>4666.6666666666661</v>
          </cell>
          <cell r="L15">
            <v>9333.3333333333321</v>
          </cell>
          <cell r="M15">
            <v>14000</v>
          </cell>
          <cell r="N15">
            <v>985632.25599999982</v>
          </cell>
          <cell r="O15">
            <v>1971264.5119999996</v>
          </cell>
          <cell r="P15">
            <v>2956896.7680000002</v>
          </cell>
        </row>
        <row r="16">
          <cell r="F16">
            <v>5000</v>
          </cell>
        </row>
        <row r="17">
          <cell r="F17">
            <v>120000</v>
          </cell>
        </row>
        <row r="18">
          <cell r="F18">
            <v>60000</v>
          </cell>
        </row>
        <row r="19">
          <cell r="F19">
            <v>26000</v>
          </cell>
        </row>
        <row r="20">
          <cell r="F20">
            <v>20000</v>
          </cell>
        </row>
        <row r="21">
          <cell r="F21">
            <v>25000</v>
          </cell>
        </row>
        <row r="22">
          <cell r="F22">
            <v>30000</v>
          </cell>
        </row>
        <row r="23">
          <cell r="F23">
            <v>184000</v>
          </cell>
        </row>
        <row r="24">
          <cell r="F24">
            <v>16000</v>
          </cell>
        </row>
        <row r="25">
          <cell r="F25">
            <v>85000</v>
          </cell>
        </row>
        <row r="26">
          <cell r="F26">
            <v>218000</v>
          </cell>
        </row>
        <row r="27">
          <cell r="F27">
            <v>239000</v>
          </cell>
        </row>
        <row r="28">
          <cell r="F28">
            <v>54000</v>
          </cell>
        </row>
        <row r="29">
          <cell r="F29">
            <v>75000</v>
          </cell>
        </row>
        <row r="30">
          <cell r="F30">
            <v>65000</v>
          </cell>
        </row>
        <row r="31">
          <cell r="F31">
            <v>35000</v>
          </cell>
        </row>
        <row r="32">
          <cell r="F32">
            <v>170252.31999999983</v>
          </cell>
        </row>
        <row r="33">
          <cell r="F33">
            <v>155899.59999999986</v>
          </cell>
        </row>
        <row r="34">
          <cell r="F34">
            <v>25000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C5F710-6F18-4BC9-8C65-F6CC20C738A6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b9e15c0c-0c70-4848-ad2f-89f77bb4d19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F4008-FA99-46EF-BD13-CB9743DFCBE0}">
  <dimension ref="A1:R127"/>
  <sheetViews>
    <sheetView tabSelected="1" zoomScale="90" zoomScaleNormal="90" workbookViewId="0">
      <selection activeCell="C127" sqref="C127"/>
    </sheetView>
  </sheetViews>
  <sheetFormatPr defaultRowHeight="14.5" x14ac:dyDescent="0.35"/>
  <cols>
    <col min="1" max="1" width="25.54296875" bestFit="1" customWidth="1"/>
    <col min="2" max="2" width="28.453125" bestFit="1" customWidth="1"/>
    <col min="3" max="3" width="16.7265625" bestFit="1" customWidth="1"/>
    <col min="4" max="4" width="20.08984375" bestFit="1" customWidth="1"/>
    <col min="5" max="5" width="25.26953125" bestFit="1" customWidth="1"/>
    <col min="6" max="6" width="13.54296875" bestFit="1" customWidth="1"/>
    <col min="7" max="7" width="12" bestFit="1" customWidth="1"/>
    <col min="8" max="8" width="41.08984375" bestFit="1" customWidth="1"/>
    <col min="9" max="9" width="30" bestFit="1" customWidth="1"/>
    <col min="10" max="10" width="16.453125" bestFit="1" customWidth="1"/>
    <col min="11" max="11" width="13.7265625" bestFit="1" customWidth="1"/>
    <col min="12" max="12" width="34.90625" bestFit="1" customWidth="1"/>
  </cols>
  <sheetData>
    <row r="1" spans="1:9" ht="40" customHeight="1" x14ac:dyDescent="0.55000000000000004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1</v>
      </c>
      <c r="B2" s="2"/>
      <c r="C2" s="2"/>
      <c r="D2" s="2"/>
      <c r="E2" s="2"/>
      <c r="F2" s="2"/>
      <c r="G2" s="2"/>
      <c r="H2" s="2"/>
      <c r="I2" s="2"/>
    </row>
    <row r="4" spans="1:9" ht="18.5" x14ac:dyDescent="0.45">
      <c r="A4" s="4" t="s">
        <v>2</v>
      </c>
      <c r="B4" s="4"/>
      <c r="C4" s="4"/>
      <c r="D4" s="4"/>
      <c r="E4" s="4"/>
      <c r="F4" s="4"/>
      <c r="G4" s="5"/>
      <c r="H4" s="4"/>
      <c r="I4" s="4"/>
    </row>
    <row r="5" spans="1:9" x14ac:dyDescent="0.3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G5" s="7" t="s">
        <v>8</v>
      </c>
      <c r="H5" s="7" t="s">
        <v>9</v>
      </c>
      <c r="I5" s="7" t="s">
        <v>7</v>
      </c>
    </row>
    <row r="6" spans="1:9" x14ac:dyDescent="0.35">
      <c r="A6" s="8" t="s">
        <v>10</v>
      </c>
      <c r="B6" s="9">
        <f>'[1]Matriz Organograma'!R4</f>
        <v>754</v>
      </c>
      <c r="C6" s="9">
        <f>'[1]Matriz Organograma'!S4</f>
        <v>213</v>
      </c>
      <c r="D6" s="9">
        <f>'[1]Matriz Organograma'!T4</f>
        <v>967</v>
      </c>
      <c r="E6" s="10">
        <f>D6/D6</f>
        <v>1</v>
      </c>
      <c r="G6" s="8" t="s">
        <v>11</v>
      </c>
      <c r="H6" s="9">
        <f>'[1]Matriz Organograma'!J182</f>
        <v>732</v>
      </c>
      <c r="I6" s="10">
        <f>H6/$D$6</f>
        <v>0.75698035160289556</v>
      </c>
    </row>
    <row r="7" spans="1:9" x14ac:dyDescent="0.35">
      <c r="A7" s="8" t="s">
        <v>12</v>
      </c>
      <c r="B7" s="9">
        <f>'[1]Matriz Organograma'!R5</f>
        <v>568</v>
      </c>
      <c r="C7" s="9">
        <f>'[1]Matriz Organograma'!S5</f>
        <v>164</v>
      </c>
      <c r="D7" s="9">
        <f>'[1]Matriz Organograma'!T5</f>
        <v>732</v>
      </c>
      <c r="E7" s="10">
        <f>D7/D6</f>
        <v>0.75698035160289556</v>
      </c>
      <c r="G7" s="8" t="s">
        <v>13</v>
      </c>
      <c r="H7" s="9">
        <f>'[1]Matriz Organograma'!J183</f>
        <v>142</v>
      </c>
      <c r="I7" s="10">
        <f>H7/$D$6</f>
        <v>0.1468459152016546</v>
      </c>
    </row>
    <row r="8" spans="1:9" x14ac:dyDescent="0.35">
      <c r="A8" s="8" t="s">
        <v>14</v>
      </c>
      <c r="B8" s="9">
        <f>'[1]Matriz Organograma'!R6</f>
        <v>491</v>
      </c>
      <c r="C8" s="9">
        <f>'[1]Matriz Organograma'!S6</f>
        <v>163</v>
      </c>
      <c r="D8" s="9">
        <f>'[1]Matriz Organograma'!T6</f>
        <v>654</v>
      </c>
      <c r="E8" s="10">
        <f>D8/D6</f>
        <v>0.67631851085832473</v>
      </c>
      <c r="G8" s="8" t="s">
        <v>15</v>
      </c>
      <c r="H8" s="9">
        <f>'[1]Matriz Organograma'!J184</f>
        <v>30</v>
      </c>
      <c r="I8" s="10">
        <f>H8/$D$6</f>
        <v>3.1023784901758014E-2</v>
      </c>
    </row>
    <row r="9" spans="1:9" x14ac:dyDescent="0.35">
      <c r="A9" s="11" t="s">
        <v>16</v>
      </c>
      <c r="B9" s="12">
        <f>'[1]Matriz Organograma'!R7</f>
        <v>87</v>
      </c>
      <c r="C9" s="12">
        <f>'[1]Matriz Organograma'!S7</f>
        <v>18</v>
      </c>
      <c r="D9" s="12">
        <f>'[1]Matriz Organograma'!T7</f>
        <v>105</v>
      </c>
      <c r="E9" s="13">
        <f>D9/D6</f>
        <v>0.10858324715615306</v>
      </c>
      <c r="G9" s="8" t="s">
        <v>17</v>
      </c>
      <c r="H9" s="9">
        <f>'[1]Matriz Organograma'!J185</f>
        <v>63</v>
      </c>
      <c r="I9" s="10">
        <f>H9/$D$6</f>
        <v>6.5149948293691834E-2</v>
      </c>
    </row>
    <row r="10" spans="1:9" x14ac:dyDescent="0.35">
      <c r="A10" s="14" t="s">
        <v>18</v>
      </c>
      <c r="B10" s="15">
        <v>36</v>
      </c>
      <c r="C10" s="15">
        <f>'[1]Matriz Organograma'!S8</f>
        <v>5</v>
      </c>
      <c r="D10" s="15">
        <v>41</v>
      </c>
      <c r="E10" s="16" t="s">
        <v>19</v>
      </c>
      <c r="G10" s="17" t="s">
        <v>6</v>
      </c>
      <c r="H10" s="18">
        <f>SUM(H6:H9)</f>
        <v>967</v>
      </c>
      <c r="I10" s="19">
        <f>H10/$D$6</f>
        <v>1</v>
      </c>
    </row>
    <row r="11" spans="1:9" x14ac:dyDescent="0.35">
      <c r="A11" s="8" t="s">
        <v>20</v>
      </c>
      <c r="B11" s="9">
        <v>718</v>
      </c>
      <c r="C11" s="9">
        <f>'[1]Matriz Organograma'!S9</f>
        <v>208</v>
      </c>
      <c r="D11" s="9">
        <v>926</v>
      </c>
      <c r="E11" s="10" t="s">
        <v>21</v>
      </c>
    </row>
    <row r="13" spans="1:9" ht="18.5" x14ac:dyDescent="0.45">
      <c r="A13" s="20" t="s">
        <v>22</v>
      </c>
      <c r="B13" s="2"/>
      <c r="C13" s="2"/>
      <c r="D13" s="2"/>
      <c r="E13" s="2"/>
      <c r="F13" s="2"/>
      <c r="G13" s="2"/>
      <c r="H13" s="2"/>
    </row>
    <row r="14" spans="1:9" x14ac:dyDescent="0.35">
      <c r="A14" s="21" t="s">
        <v>23</v>
      </c>
      <c r="B14" s="21" t="s">
        <v>24</v>
      </c>
      <c r="C14" s="21" t="s">
        <v>9</v>
      </c>
      <c r="D14" s="21" t="s">
        <v>25</v>
      </c>
      <c r="E14" s="21" t="s">
        <v>26</v>
      </c>
      <c r="F14" s="21" t="s">
        <v>27</v>
      </c>
      <c r="G14" s="21" t="s">
        <v>28</v>
      </c>
      <c r="H14" s="21" t="s">
        <v>29</v>
      </c>
    </row>
    <row r="15" spans="1:9" x14ac:dyDescent="0.35">
      <c r="A15" s="14" t="s">
        <v>30</v>
      </c>
      <c r="B15" s="8" t="s">
        <v>31</v>
      </c>
      <c r="C15" s="9">
        <f>'[1]Matriz Organograma'!C191</f>
        <v>243</v>
      </c>
      <c r="D15" s="9">
        <f>'[1]Matriz Organograma'!D191</f>
        <v>243</v>
      </c>
      <c r="E15" s="9">
        <f>'[1]Matriz Organograma'!E191</f>
        <v>202</v>
      </c>
      <c r="F15" s="9">
        <f>'[1]Matriz Organograma'!F191</f>
        <v>26</v>
      </c>
      <c r="G15" s="9">
        <f>'[1]Matriz Organograma'!G191</f>
        <v>7</v>
      </c>
      <c r="H15" s="10">
        <f>C15/$D$6</f>
        <v>0.25129265770423992</v>
      </c>
    </row>
    <row r="16" spans="1:9" x14ac:dyDescent="0.35">
      <c r="A16" s="14" t="s">
        <v>30</v>
      </c>
      <c r="B16" s="8" t="s">
        <v>32</v>
      </c>
      <c r="C16" s="9">
        <f>'[1]Matriz Organograma'!C192</f>
        <v>182</v>
      </c>
      <c r="D16" s="9">
        <f>'[1]Matriz Organograma'!D192</f>
        <v>98</v>
      </c>
      <c r="E16" s="9">
        <f>'[1]Matriz Organograma'!E192</f>
        <v>98</v>
      </c>
      <c r="F16" s="9">
        <f>'[1]Matriz Organograma'!F192</f>
        <v>2</v>
      </c>
      <c r="G16" s="9">
        <f>'[1]Matriz Organograma'!G192</f>
        <v>2</v>
      </c>
      <c r="H16" s="10">
        <f>C16/$D$6</f>
        <v>0.18821096173733196</v>
      </c>
    </row>
    <row r="17" spans="1:9" x14ac:dyDescent="0.35">
      <c r="A17" s="14" t="s">
        <v>30</v>
      </c>
      <c r="B17" s="8" t="s">
        <v>33</v>
      </c>
      <c r="C17" s="9">
        <f>'[1]Matriz Organograma'!C193</f>
        <v>123</v>
      </c>
      <c r="D17" s="9">
        <f>'[1]Matriz Organograma'!D193</f>
        <v>87</v>
      </c>
      <c r="E17" s="9">
        <f>'[1]Matriz Organograma'!E193</f>
        <v>87</v>
      </c>
      <c r="F17" s="9">
        <f>'[1]Matriz Organograma'!F193</f>
        <v>19</v>
      </c>
      <c r="G17" s="9">
        <f>'[1]Matriz Organograma'!G193</f>
        <v>16</v>
      </c>
      <c r="H17" s="10">
        <f>C17/$D$6</f>
        <v>0.12719751809720786</v>
      </c>
    </row>
    <row r="18" spans="1:9" x14ac:dyDescent="0.35">
      <c r="A18" s="14" t="s">
        <v>30</v>
      </c>
      <c r="B18" s="8" t="s">
        <v>34</v>
      </c>
      <c r="C18" s="9">
        <f>'[1]Matriz Organograma'!C194</f>
        <v>120</v>
      </c>
      <c r="D18" s="9">
        <f>'[1]Matriz Organograma'!D194</f>
        <v>118</v>
      </c>
      <c r="E18" s="9">
        <f>'[1]Matriz Organograma'!E194</f>
        <v>84</v>
      </c>
      <c r="F18" s="9">
        <f>'[1]Matriz Organograma'!F194</f>
        <v>3</v>
      </c>
      <c r="G18" s="9">
        <f>'[1]Matriz Organograma'!G194</f>
        <v>1</v>
      </c>
      <c r="H18" s="10">
        <f>C18/$D$6</f>
        <v>0.12409513960703206</v>
      </c>
    </row>
    <row r="19" spans="1:9" x14ac:dyDescent="0.35">
      <c r="A19" s="14" t="s">
        <v>30</v>
      </c>
      <c r="B19" s="8" t="s">
        <v>35</v>
      </c>
      <c r="C19" s="9">
        <f>'[1]Matriz Organograma'!C195</f>
        <v>34</v>
      </c>
      <c r="D19" s="9">
        <f>'[1]Matriz Organograma'!D195</f>
        <v>4</v>
      </c>
      <c r="E19" s="9">
        <f>'[1]Matriz Organograma'!E195</f>
        <v>2</v>
      </c>
      <c r="F19" s="9">
        <f>'[1]Matriz Organograma'!F195</f>
        <v>26</v>
      </c>
      <c r="G19" s="9">
        <f>'[1]Matriz Organograma'!G195</f>
        <v>1</v>
      </c>
      <c r="H19" s="10">
        <f>C19/$D$6</f>
        <v>3.5160289555325748E-2</v>
      </c>
    </row>
    <row r="20" spans="1:9" x14ac:dyDescent="0.35">
      <c r="A20" s="14" t="s">
        <v>30</v>
      </c>
      <c r="B20" s="8" t="s">
        <v>36</v>
      </c>
      <c r="C20" s="9">
        <f>'[1]Matriz Organograma'!C196</f>
        <v>32</v>
      </c>
      <c r="D20" s="9">
        <f>'[1]Matriz Organograma'!D196</f>
        <v>18</v>
      </c>
      <c r="E20" s="9">
        <f>'[1]Matriz Organograma'!E196</f>
        <v>18</v>
      </c>
      <c r="F20" s="9">
        <f>'[1]Matriz Organograma'!F196</f>
        <v>9</v>
      </c>
      <c r="G20" s="9">
        <f>'[1]Matriz Organograma'!G196</f>
        <v>7</v>
      </c>
      <c r="H20" s="10">
        <f>C20/$D$6</f>
        <v>3.3092037228541885E-2</v>
      </c>
    </row>
    <row r="21" spans="1:9" x14ac:dyDescent="0.35">
      <c r="A21" s="14" t="s">
        <v>30</v>
      </c>
      <c r="B21" s="8" t="s">
        <v>37</v>
      </c>
      <c r="C21" s="9">
        <f>'[1]Matriz Organograma'!C197</f>
        <v>12</v>
      </c>
      <c r="D21" s="9">
        <f>'[1]Matriz Organograma'!D197</f>
        <v>0</v>
      </c>
      <c r="E21" s="9">
        <f>'[1]Matriz Organograma'!E197</f>
        <v>0</v>
      </c>
      <c r="F21" s="9">
        <f>'[1]Matriz Organograma'!F197</f>
        <v>1</v>
      </c>
      <c r="G21" s="9">
        <f>'[1]Matriz Organograma'!G197</f>
        <v>1</v>
      </c>
      <c r="H21" s="10">
        <f>C21/$D$6</f>
        <v>1.2409513960703205E-2</v>
      </c>
    </row>
    <row r="22" spans="1:9" x14ac:dyDescent="0.35">
      <c r="A22" s="14" t="s">
        <v>30</v>
      </c>
      <c r="B22" s="8" t="s">
        <v>38</v>
      </c>
      <c r="C22" s="9">
        <f>'[1]Matriz Organograma'!C198</f>
        <v>7</v>
      </c>
      <c r="D22" s="9">
        <f>'[1]Matriz Organograma'!D198</f>
        <v>0</v>
      </c>
      <c r="E22" s="9">
        <f>'[1]Matriz Organograma'!E198</f>
        <v>0</v>
      </c>
      <c r="F22" s="9">
        <f>'[1]Matriz Organograma'!F198</f>
        <v>1</v>
      </c>
      <c r="G22" s="9">
        <f>'[1]Matriz Organograma'!G198</f>
        <v>1</v>
      </c>
      <c r="H22" s="10">
        <f>C22/$D$6</f>
        <v>7.2388831437435368E-3</v>
      </c>
    </row>
    <row r="23" spans="1:9" x14ac:dyDescent="0.35">
      <c r="A23" s="14" t="s">
        <v>30</v>
      </c>
      <c r="B23" s="8" t="s">
        <v>39</v>
      </c>
      <c r="C23" s="9">
        <f>'[1]Matriz Organograma'!C199</f>
        <v>1</v>
      </c>
      <c r="D23" s="9">
        <f>'[1]Matriz Organograma'!D199</f>
        <v>0</v>
      </c>
      <c r="E23" s="9">
        <f>'[1]Matriz Organograma'!E199</f>
        <v>0</v>
      </c>
      <c r="F23" s="9">
        <f>'[1]Matriz Organograma'!F199</f>
        <v>0</v>
      </c>
      <c r="G23" s="9">
        <f>'[1]Matriz Organograma'!G199</f>
        <v>0</v>
      </c>
      <c r="H23" s="10">
        <f>C23/$D$6</f>
        <v>1.0341261633919339E-3</v>
      </c>
    </row>
    <row r="24" spans="1:9" x14ac:dyDescent="0.35">
      <c r="A24" s="22" t="s">
        <v>40</v>
      </c>
      <c r="B24" s="8" t="s">
        <v>41</v>
      </c>
      <c r="C24" s="9">
        <f>'[1]Matriz Organograma'!C200</f>
        <v>76</v>
      </c>
      <c r="D24" s="9">
        <f>'[1]Matriz Organograma'!D200</f>
        <v>69</v>
      </c>
      <c r="E24" s="9">
        <f>'[1]Matriz Organograma'!E200</f>
        <v>66</v>
      </c>
      <c r="F24" s="9">
        <f>'[1]Matriz Organograma'!F200</f>
        <v>2</v>
      </c>
      <c r="G24" s="9">
        <f>'[1]Matriz Organograma'!G200</f>
        <v>0</v>
      </c>
      <c r="H24" s="10">
        <f>C24/$D$6</f>
        <v>7.8593588417786964E-2</v>
      </c>
    </row>
    <row r="25" spans="1:9" x14ac:dyDescent="0.35">
      <c r="A25" s="22" t="s">
        <v>40</v>
      </c>
      <c r="B25" s="8" t="s">
        <v>42</v>
      </c>
      <c r="C25" s="9">
        <f>'[1]Matriz Organograma'!C201</f>
        <v>60</v>
      </c>
      <c r="D25" s="9">
        <f>'[1]Matriz Organograma'!D201</f>
        <v>33</v>
      </c>
      <c r="E25" s="9">
        <f>'[1]Matriz Organograma'!E201</f>
        <v>36</v>
      </c>
      <c r="F25" s="9">
        <f>'[1]Matriz Organograma'!F201</f>
        <v>9</v>
      </c>
      <c r="G25" s="9">
        <f>'[1]Matriz Organograma'!G201</f>
        <v>4</v>
      </c>
      <c r="H25" s="10">
        <f>C25/$D$6</f>
        <v>6.2047569803516028E-2</v>
      </c>
    </row>
    <row r="26" spans="1:9" x14ac:dyDescent="0.35">
      <c r="A26" s="22" t="s">
        <v>40</v>
      </c>
      <c r="B26" s="8" t="s">
        <v>43</v>
      </c>
      <c r="C26" s="9">
        <f>'[1]Matriz Organograma'!C202</f>
        <v>50</v>
      </c>
      <c r="D26" s="9">
        <f>'[1]Matriz Organograma'!D202</f>
        <v>39</v>
      </c>
      <c r="E26" s="9">
        <f>'[1]Matriz Organograma'!E202</f>
        <v>39</v>
      </c>
      <c r="F26" s="9">
        <f>'[1]Matriz Organograma'!F202</f>
        <v>6</v>
      </c>
      <c r="G26" s="9">
        <f>'[1]Matriz Organograma'!G202</f>
        <v>1</v>
      </c>
      <c r="H26" s="10">
        <f>C26/$D$6</f>
        <v>5.170630816959669E-2</v>
      </c>
    </row>
    <row r="27" spans="1:9" x14ac:dyDescent="0.35">
      <c r="A27" s="22" t="s">
        <v>40</v>
      </c>
      <c r="B27" s="8" t="s">
        <v>44</v>
      </c>
      <c r="C27" s="9">
        <f>'[1]Matriz Organograma'!C203</f>
        <v>27</v>
      </c>
      <c r="D27" s="9">
        <f>'[1]Matriz Organograma'!D203</f>
        <v>23</v>
      </c>
      <c r="E27" s="9">
        <f>'[1]Matriz Organograma'!E203</f>
        <v>22</v>
      </c>
      <c r="F27" s="9">
        <f>'[1]Matriz Organograma'!F203</f>
        <v>1</v>
      </c>
      <c r="G27" s="9">
        <f>'[1]Matriz Organograma'!G203</f>
        <v>0</v>
      </c>
      <c r="H27" s="10">
        <f>C27/$D$6</f>
        <v>2.7921406411582212E-2</v>
      </c>
    </row>
    <row r="28" spans="1:9" x14ac:dyDescent="0.35">
      <c r="A28" s="23" t="s">
        <v>6</v>
      </c>
      <c r="B28" s="23" t="s">
        <v>45</v>
      </c>
      <c r="C28" s="24">
        <f>SUM(C15:C27)</f>
        <v>967</v>
      </c>
      <c r="D28" s="24">
        <f>SUM(D15:D27)</f>
        <v>732</v>
      </c>
      <c r="E28" s="24">
        <f>SUM(E15:E27)</f>
        <v>654</v>
      </c>
      <c r="F28" s="24">
        <f>SUM(F15:F27)</f>
        <v>105</v>
      </c>
      <c r="G28" s="24">
        <f>SUM(G15:G27)</f>
        <v>41</v>
      </c>
      <c r="H28" s="25">
        <f>C28/$D$6</f>
        <v>1</v>
      </c>
    </row>
    <row r="31" spans="1:9" ht="18.5" x14ac:dyDescent="0.45">
      <c r="A31" s="26" t="s">
        <v>46</v>
      </c>
      <c r="B31" s="26"/>
      <c r="C31" s="26"/>
      <c r="D31" s="26"/>
      <c r="E31" s="26"/>
      <c r="F31" s="26"/>
      <c r="G31" s="26"/>
      <c r="H31" s="26"/>
      <c r="I31" s="26"/>
    </row>
    <row r="32" spans="1:9" x14ac:dyDescent="0.35">
      <c r="A32" s="27" t="s">
        <v>47</v>
      </c>
      <c r="B32" s="27" t="s">
        <v>48</v>
      </c>
      <c r="C32" s="27" t="s">
        <v>29</v>
      </c>
      <c r="D32" s="27" t="s">
        <v>27</v>
      </c>
      <c r="E32" s="27" t="s">
        <v>49</v>
      </c>
      <c r="F32" s="27" t="s">
        <v>28</v>
      </c>
      <c r="G32" s="27" t="s">
        <v>50</v>
      </c>
      <c r="H32" s="27" t="s">
        <v>51</v>
      </c>
    </row>
    <row r="33" spans="1:13" x14ac:dyDescent="0.35">
      <c r="A33" s="28" t="s">
        <v>52</v>
      </c>
      <c r="B33" s="29">
        <v>14</v>
      </c>
      <c r="C33" s="29" t="s">
        <v>53</v>
      </c>
      <c r="D33" s="29">
        <v>0</v>
      </c>
      <c r="E33" s="29" t="s">
        <v>54</v>
      </c>
      <c r="F33" s="29">
        <v>0</v>
      </c>
      <c r="G33" s="29" t="s">
        <v>54</v>
      </c>
      <c r="H33" t="s">
        <v>55</v>
      </c>
      <c r="K33" s="145" t="s">
        <v>255</v>
      </c>
      <c r="L33" s="145" t="s">
        <v>258</v>
      </c>
      <c r="M33" s="145" t="s">
        <v>259</v>
      </c>
    </row>
    <row r="34" spans="1:13" x14ac:dyDescent="0.35">
      <c r="A34" s="28" t="s">
        <v>56</v>
      </c>
      <c r="B34" s="29">
        <v>7</v>
      </c>
      <c r="C34" s="29" t="s">
        <v>57</v>
      </c>
      <c r="D34" s="29">
        <v>2</v>
      </c>
      <c r="E34" s="29" t="s">
        <v>58</v>
      </c>
      <c r="F34" s="29">
        <v>0</v>
      </c>
      <c r="G34" s="29" t="s">
        <v>54</v>
      </c>
      <c r="H34" t="s">
        <v>59</v>
      </c>
      <c r="K34" s="145" t="str">
        <f>A33</f>
        <v>Coordenação</v>
      </c>
      <c r="L34" s="145">
        <f>D33</f>
        <v>0</v>
      </c>
      <c r="M34" s="145">
        <f>F33</f>
        <v>0</v>
      </c>
    </row>
    <row r="35" spans="1:13" x14ac:dyDescent="0.35">
      <c r="A35" s="28" t="s">
        <v>60</v>
      </c>
      <c r="B35" s="29">
        <v>3</v>
      </c>
      <c r="C35" s="29" t="s">
        <v>61</v>
      </c>
      <c r="D35" s="29">
        <v>3</v>
      </c>
      <c r="E35" s="30">
        <v>1</v>
      </c>
      <c r="F35" s="29">
        <v>2</v>
      </c>
      <c r="G35" s="29" t="s">
        <v>62</v>
      </c>
      <c r="H35" t="s">
        <v>63</v>
      </c>
      <c r="K35" s="145" t="str">
        <f t="shared" ref="K35:K47" si="0">A34</f>
        <v>Gestor</v>
      </c>
      <c r="L35" s="145">
        <f t="shared" ref="L35:L47" si="1">D34</f>
        <v>2</v>
      </c>
      <c r="M35" s="145">
        <f t="shared" ref="M35:M47" si="2">F34</f>
        <v>0</v>
      </c>
    </row>
    <row r="36" spans="1:13" x14ac:dyDescent="0.35">
      <c r="A36" s="28" t="s">
        <v>64</v>
      </c>
      <c r="B36" s="29">
        <v>68</v>
      </c>
      <c r="C36" s="29" t="s">
        <v>65</v>
      </c>
      <c r="D36" s="29">
        <v>18</v>
      </c>
      <c r="E36" s="29" t="s">
        <v>66</v>
      </c>
      <c r="F36" s="29">
        <v>13</v>
      </c>
      <c r="G36" s="29" t="s">
        <v>67</v>
      </c>
      <c r="H36" t="s">
        <v>68</v>
      </c>
      <c r="K36" s="145" t="str">
        <f t="shared" si="0"/>
        <v>Trainee</v>
      </c>
      <c r="L36" s="145">
        <f t="shared" si="1"/>
        <v>3</v>
      </c>
      <c r="M36" s="145">
        <f t="shared" si="2"/>
        <v>2</v>
      </c>
    </row>
    <row r="37" spans="1:13" x14ac:dyDescent="0.35">
      <c r="A37" s="31" t="s">
        <v>69</v>
      </c>
      <c r="B37" s="32">
        <v>287</v>
      </c>
      <c r="C37" s="32" t="s">
        <v>70</v>
      </c>
      <c r="D37" s="32">
        <v>32</v>
      </c>
      <c r="E37" s="32" t="s">
        <v>71</v>
      </c>
      <c r="F37" s="32">
        <v>0</v>
      </c>
      <c r="G37" s="32" t="s">
        <v>54</v>
      </c>
      <c r="H37" s="33" t="s">
        <v>72</v>
      </c>
      <c r="K37" s="145" t="str">
        <f t="shared" si="0"/>
        <v>Líder</v>
      </c>
      <c r="L37" s="145">
        <f t="shared" si="1"/>
        <v>18</v>
      </c>
      <c r="M37" s="145">
        <f t="shared" si="2"/>
        <v>13</v>
      </c>
    </row>
    <row r="38" spans="1:13" x14ac:dyDescent="0.35">
      <c r="A38" s="31" t="s">
        <v>73</v>
      </c>
      <c r="B38" s="32">
        <v>89</v>
      </c>
      <c r="C38" s="32" t="s">
        <v>74</v>
      </c>
      <c r="D38" s="32">
        <v>8</v>
      </c>
      <c r="E38" s="32" t="s">
        <v>75</v>
      </c>
      <c r="F38" s="32">
        <v>0</v>
      </c>
      <c r="G38" s="32" t="s">
        <v>54</v>
      </c>
      <c r="H38" s="33" t="s">
        <v>76</v>
      </c>
      <c r="K38" s="145" t="str">
        <f t="shared" si="0"/>
        <v>Operador</v>
      </c>
      <c r="L38" s="145">
        <f t="shared" si="1"/>
        <v>32</v>
      </c>
      <c r="M38" s="145">
        <f t="shared" si="2"/>
        <v>0</v>
      </c>
    </row>
    <row r="39" spans="1:13" x14ac:dyDescent="0.35">
      <c r="A39" s="31" t="s">
        <v>77</v>
      </c>
      <c r="B39" s="32">
        <v>98</v>
      </c>
      <c r="C39" s="32" t="s">
        <v>78</v>
      </c>
      <c r="D39" s="32">
        <v>12</v>
      </c>
      <c r="E39" s="32" t="s">
        <v>79</v>
      </c>
      <c r="F39" s="32">
        <v>0</v>
      </c>
      <c r="G39" s="32" t="s">
        <v>54</v>
      </c>
      <c r="H39" s="33" t="s">
        <v>80</v>
      </c>
      <c r="K39" s="145" t="str">
        <f t="shared" si="0"/>
        <v>Motorista</v>
      </c>
      <c r="L39" s="145">
        <f t="shared" si="1"/>
        <v>8</v>
      </c>
      <c r="M39" s="145">
        <f t="shared" si="2"/>
        <v>0</v>
      </c>
    </row>
    <row r="40" spans="1:13" x14ac:dyDescent="0.35">
      <c r="A40" s="31" t="s">
        <v>81</v>
      </c>
      <c r="B40" s="32">
        <v>24</v>
      </c>
      <c r="C40" s="32" t="s">
        <v>82</v>
      </c>
      <c r="D40" s="32">
        <v>4</v>
      </c>
      <c r="E40" s="32" t="s">
        <v>83</v>
      </c>
      <c r="F40" s="32">
        <v>0</v>
      </c>
      <c r="G40" s="32" t="s">
        <v>54</v>
      </c>
      <c r="H40" s="33" t="s">
        <v>84</v>
      </c>
      <c r="K40" s="145" t="str">
        <f t="shared" si="0"/>
        <v>Mecânico</v>
      </c>
      <c r="L40" s="145">
        <f t="shared" si="1"/>
        <v>12</v>
      </c>
      <c r="M40" s="145">
        <f t="shared" si="2"/>
        <v>0</v>
      </c>
    </row>
    <row r="41" spans="1:13" x14ac:dyDescent="0.35">
      <c r="A41" s="28" t="s">
        <v>85</v>
      </c>
      <c r="B41" s="29">
        <v>42</v>
      </c>
      <c r="C41" s="29" t="s">
        <v>86</v>
      </c>
      <c r="D41" s="29">
        <v>8</v>
      </c>
      <c r="E41" s="29" t="s">
        <v>87</v>
      </c>
      <c r="F41" s="29">
        <v>9</v>
      </c>
      <c r="G41" s="29" t="s">
        <v>88</v>
      </c>
      <c r="H41" t="s">
        <v>89</v>
      </c>
      <c r="K41" s="145" t="str">
        <f t="shared" si="0"/>
        <v>Eletricista</v>
      </c>
      <c r="L41" s="145">
        <f t="shared" si="1"/>
        <v>4</v>
      </c>
      <c r="M41" s="145">
        <f t="shared" si="2"/>
        <v>0</v>
      </c>
    </row>
    <row r="42" spans="1:13" x14ac:dyDescent="0.35">
      <c r="A42" s="28" t="s">
        <v>90</v>
      </c>
      <c r="B42" s="29">
        <v>12</v>
      </c>
      <c r="C42" s="29" t="s">
        <v>91</v>
      </c>
      <c r="D42" s="29">
        <v>4</v>
      </c>
      <c r="E42" s="29" t="s">
        <v>92</v>
      </c>
      <c r="F42" s="29">
        <v>4</v>
      </c>
      <c r="G42" s="29" t="s">
        <v>92</v>
      </c>
      <c r="H42" t="s">
        <v>93</v>
      </c>
      <c r="K42" s="145" t="str">
        <f t="shared" si="0"/>
        <v>Auxiliar</v>
      </c>
      <c r="L42" s="145">
        <f t="shared" si="1"/>
        <v>8</v>
      </c>
      <c r="M42" s="145">
        <f t="shared" si="2"/>
        <v>9</v>
      </c>
    </row>
    <row r="43" spans="1:13" x14ac:dyDescent="0.35">
      <c r="A43" s="28" t="s">
        <v>94</v>
      </c>
      <c r="B43" s="29">
        <v>156</v>
      </c>
      <c r="C43" s="29" t="s">
        <v>95</v>
      </c>
      <c r="D43" s="29">
        <v>6</v>
      </c>
      <c r="E43" s="29" t="s">
        <v>96</v>
      </c>
      <c r="F43" s="29">
        <v>6</v>
      </c>
      <c r="G43" s="29" t="s">
        <v>96</v>
      </c>
      <c r="H43" t="s">
        <v>97</v>
      </c>
      <c r="K43" s="145" t="str">
        <f t="shared" si="0"/>
        <v>Analista</v>
      </c>
      <c r="L43" s="145">
        <f t="shared" si="1"/>
        <v>4</v>
      </c>
      <c r="M43" s="145">
        <f t="shared" si="2"/>
        <v>4</v>
      </c>
    </row>
    <row r="44" spans="1:13" x14ac:dyDescent="0.35">
      <c r="A44" s="31" t="s">
        <v>98</v>
      </c>
      <c r="B44" s="32">
        <v>45</v>
      </c>
      <c r="C44" s="32" t="s">
        <v>99</v>
      </c>
      <c r="D44" s="32">
        <v>3</v>
      </c>
      <c r="E44" s="32" t="s">
        <v>100</v>
      </c>
      <c r="F44" s="32">
        <v>0</v>
      </c>
      <c r="G44" s="32" t="s">
        <v>54</v>
      </c>
      <c r="H44" s="33" t="s">
        <v>101</v>
      </c>
      <c r="K44" s="145" t="str">
        <f t="shared" si="0"/>
        <v>Rurais</v>
      </c>
      <c r="L44" s="145">
        <f t="shared" si="1"/>
        <v>6</v>
      </c>
      <c r="M44" s="145">
        <f t="shared" si="2"/>
        <v>6</v>
      </c>
    </row>
    <row r="45" spans="1:13" x14ac:dyDescent="0.35">
      <c r="A45" s="31" t="s">
        <v>102</v>
      </c>
      <c r="B45" s="32">
        <v>34</v>
      </c>
      <c r="C45" s="32" t="s">
        <v>103</v>
      </c>
      <c r="D45" s="32">
        <v>0</v>
      </c>
      <c r="E45" s="32" t="s">
        <v>54</v>
      </c>
      <c r="F45" s="32">
        <v>0</v>
      </c>
      <c r="G45" s="32" t="s">
        <v>54</v>
      </c>
      <c r="H45" s="33" t="s">
        <v>104</v>
      </c>
      <c r="K45" s="145" t="str">
        <f t="shared" si="0"/>
        <v>Brigada</v>
      </c>
      <c r="L45" s="145">
        <f t="shared" si="1"/>
        <v>3</v>
      </c>
      <c r="M45" s="145">
        <f t="shared" si="2"/>
        <v>0</v>
      </c>
    </row>
    <row r="46" spans="1:13" x14ac:dyDescent="0.35">
      <c r="A46" s="28" t="s">
        <v>105</v>
      </c>
      <c r="B46" s="29">
        <v>88</v>
      </c>
      <c r="C46" s="29" t="s">
        <v>106</v>
      </c>
      <c r="D46" s="29">
        <v>5</v>
      </c>
      <c r="E46" s="29" t="s">
        <v>107</v>
      </c>
      <c r="F46" s="29">
        <v>7</v>
      </c>
      <c r="G46" s="29" t="s">
        <v>108</v>
      </c>
      <c r="H46" t="s">
        <v>109</v>
      </c>
      <c r="K46" s="145" t="str">
        <f t="shared" si="0"/>
        <v>Qualidade</v>
      </c>
      <c r="L46" s="145">
        <f t="shared" si="1"/>
        <v>0</v>
      </c>
      <c r="M46" s="145">
        <f t="shared" si="2"/>
        <v>0</v>
      </c>
    </row>
    <row r="47" spans="1:13" x14ac:dyDescent="0.35">
      <c r="A47" s="34" t="s">
        <v>6</v>
      </c>
      <c r="B47" s="35">
        <v>967</v>
      </c>
      <c r="C47" s="36">
        <v>1</v>
      </c>
      <c r="D47" s="35">
        <v>105</v>
      </c>
      <c r="E47" s="35" t="s">
        <v>110</v>
      </c>
      <c r="F47" s="35">
        <v>41</v>
      </c>
      <c r="G47" s="35" t="s">
        <v>19</v>
      </c>
      <c r="H47" s="34"/>
      <c r="K47" s="145" t="str">
        <f t="shared" si="0"/>
        <v>Outros</v>
      </c>
      <c r="L47" s="145">
        <f t="shared" si="1"/>
        <v>5</v>
      </c>
      <c r="M47" s="145">
        <f t="shared" si="2"/>
        <v>7</v>
      </c>
    </row>
    <row r="50" spans="1:9" ht="18.5" x14ac:dyDescent="0.45">
      <c r="A50" s="26" t="s">
        <v>111</v>
      </c>
      <c r="B50" s="26"/>
      <c r="C50" s="26"/>
      <c r="D50" s="26"/>
      <c r="E50" s="26"/>
      <c r="F50" s="26"/>
      <c r="G50" s="26"/>
      <c r="H50" s="26"/>
      <c r="I50" s="26"/>
    </row>
    <row r="51" spans="1:9" x14ac:dyDescent="0.35">
      <c r="A51" s="37" t="s">
        <v>24</v>
      </c>
      <c r="B51" s="37" t="s">
        <v>23</v>
      </c>
      <c r="C51" s="37" t="s">
        <v>48</v>
      </c>
      <c r="D51" s="37" t="s">
        <v>29</v>
      </c>
      <c r="E51" s="37" t="s">
        <v>27</v>
      </c>
      <c r="F51" s="37" t="s">
        <v>49</v>
      </c>
      <c r="G51" s="37" t="s">
        <v>28</v>
      </c>
      <c r="H51" s="37" t="s">
        <v>50</v>
      </c>
      <c r="I51" s="37" t="s">
        <v>51</v>
      </c>
    </row>
    <row r="52" spans="1:9" x14ac:dyDescent="0.35">
      <c r="A52" s="38" t="s">
        <v>31</v>
      </c>
      <c r="B52" s="38" t="s">
        <v>30</v>
      </c>
      <c r="C52" s="39">
        <v>243</v>
      </c>
      <c r="D52" s="39" t="s">
        <v>112</v>
      </c>
      <c r="E52" s="39">
        <v>26</v>
      </c>
      <c r="F52" s="39" t="s">
        <v>113</v>
      </c>
      <c r="G52" s="39">
        <v>7</v>
      </c>
      <c r="H52" s="39" t="s">
        <v>114</v>
      </c>
      <c r="I52" s="38" t="s">
        <v>115</v>
      </c>
    </row>
    <row r="53" spans="1:9" x14ac:dyDescent="0.35">
      <c r="A53" s="8" t="s">
        <v>32</v>
      </c>
      <c r="B53" s="8" t="s">
        <v>30</v>
      </c>
      <c r="C53" s="9">
        <v>182</v>
      </c>
      <c r="D53" s="9" t="s">
        <v>116</v>
      </c>
      <c r="E53" s="9">
        <v>2</v>
      </c>
      <c r="F53" s="9" t="s">
        <v>117</v>
      </c>
      <c r="G53" s="9">
        <v>2</v>
      </c>
      <c r="H53" s="9" t="s">
        <v>118</v>
      </c>
      <c r="I53" s="8" t="s">
        <v>119</v>
      </c>
    </row>
    <row r="54" spans="1:9" x14ac:dyDescent="0.35">
      <c r="A54" s="38" t="s">
        <v>33</v>
      </c>
      <c r="B54" s="38" t="s">
        <v>30</v>
      </c>
      <c r="C54" s="39">
        <v>123</v>
      </c>
      <c r="D54" s="39" t="s">
        <v>120</v>
      </c>
      <c r="E54" s="39">
        <v>19</v>
      </c>
      <c r="F54" s="39" t="s">
        <v>121</v>
      </c>
      <c r="G54" s="39">
        <v>16</v>
      </c>
      <c r="H54" s="39" t="s">
        <v>122</v>
      </c>
      <c r="I54" s="38" t="s">
        <v>123</v>
      </c>
    </row>
    <row r="55" spans="1:9" x14ac:dyDescent="0.35">
      <c r="A55" s="8" t="s">
        <v>34</v>
      </c>
      <c r="B55" s="8" t="s">
        <v>30</v>
      </c>
      <c r="C55" s="9">
        <v>120</v>
      </c>
      <c r="D55" s="9" t="s">
        <v>124</v>
      </c>
      <c r="E55" s="9">
        <v>3</v>
      </c>
      <c r="F55" s="9" t="s">
        <v>125</v>
      </c>
      <c r="G55" s="9">
        <v>1</v>
      </c>
      <c r="H55" s="9" t="s">
        <v>126</v>
      </c>
      <c r="I55" s="8" t="s">
        <v>127</v>
      </c>
    </row>
    <row r="56" spans="1:9" x14ac:dyDescent="0.35">
      <c r="A56" s="38" t="s">
        <v>35</v>
      </c>
      <c r="B56" s="38" t="s">
        <v>30</v>
      </c>
      <c r="C56" s="39">
        <v>34</v>
      </c>
      <c r="D56" s="39" t="s">
        <v>103</v>
      </c>
      <c r="E56" s="39">
        <v>26</v>
      </c>
      <c r="F56" s="39" t="s">
        <v>113</v>
      </c>
      <c r="G56" s="39">
        <v>1</v>
      </c>
      <c r="H56" s="39" t="s">
        <v>126</v>
      </c>
      <c r="I56" s="38" t="s">
        <v>128</v>
      </c>
    </row>
    <row r="57" spans="1:9" x14ac:dyDescent="0.35">
      <c r="A57" s="8" t="s">
        <v>36</v>
      </c>
      <c r="B57" s="8" t="s">
        <v>30</v>
      </c>
      <c r="C57" s="9">
        <v>32</v>
      </c>
      <c r="D57" s="9" t="s">
        <v>129</v>
      </c>
      <c r="E57" s="9">
        <v>9</v>
      </c>
      <c r="F57" s="9" t="s">
        <v>130</v>
      </c>
      <c r="G57" s="9">
        <v>7</v>
      </c>
      <c r="H57" s="9" t="s">
        <v>114</v>
      </c>
      <c r="I57" s="8" t="s">
        <v>131</v>
      </c>
    </row>
    <row r="58" spans="1:9" x14ac:dyDescent="0.35">
      <c r="A58" s="38" t="s">
        <v>37</v>
      </c>
      <c r="B58" s="38" t="s">
        <v>30</v>
      </c>
      <c r="C58" s="39">
        <v>12</v>
      </c>
      <c r="D58" s="39" t="s">
        <v>91</v>
      </c>
      <c r="E58" s="39">
        <v>1</v>
      </c>
      <c r="F58" s="39" t="s">
        <v>132</v>
      </c>
      <c r="G58" s="39">
        <v>1</v>
      </c>
      <c r="H58" s="39" t="s">
        <v>126</v>
      </c>
      <c r="I58" s="38" t="s">
        <v>133</v>
      </c>
    </row>
    <row r="59" spans="1:9" x14ac:dyDescent="0.35">
      <c r="A59" s="8" t="s">
        <v>38</v>
      </c>
      <c r="B59" s="8" t="s">
        <v>30</v>
      </c>
      <c r="C59" s="9">
        <v>7</v>
      </c>
      <c r="D59" s="9" t="s">
        <v>57</v>
      </c>
      <c r="E59" s="9">
        <v>1</v>
      </c>
      <c r="F59" s="9" t="s">
        <v>132</v>
      </c>
      <c r="G59" s="9">
        <v>1</v>
      </c>
      <c r="H59" s="9" t="s">
        <v>126</v>
      </c>
      <c r="I59" s="8" t="s">
        <v>134</v>
      </c>
    </row>
    <row r="60" spans="1:9" x14ac:dyDescent="0.35">
      <c r="A60" s="38" t="s">
        <v>39</v>
      </c>
      <c r="B60" s="38" t="s">
        <v>30</v>
      </c>
      <c r="C60" s="39">
        <v>1</v>
      </c>
      <c r="D60" s="39" t="s">
        <v>135</v>
      </c>
      <c r="E60" s="39">
        <v>0</v>
      </c>
      <c r="F60" s="39" t="s">
        <v>54</v>
      </c>
      <c r="G60" s="39">
        <v>0</v>
      </c>
      <c r="H60" s="39" t="s">
        <v>54</v>
      </c>
      <c r="I60" s="38" t="s">
        <v>136</v>
      </c>
    </row>
    <row r="61" spans="1:9" x14ac:dyDescent="0.35">
      <c r="A61" s="8" t="s">
        <v>41</v>
      </c>
      <c r="B61" s="8" t="s">
        <v>40</v>
      </c>
      <c r="C61" s="9">
        <v>76</v>
      </c>
      <c r="D61" s="9" t="s">
        <v>137</v>
      </c>
      <c r="E61" s="9">
        <v>2</v>
      </c>
      <c r="F61" s="9" t="s">
        <v>117</v>
      </c>
      <c r="G61" s="9">
        <v>0</v>
      </c>
      <c r="H61" s="9" t="s">
        <v>54</v>
      </c>
      <c r="I61" s="8" t="s">
        <v>138</v>
      </c>
    </row>
    <row r="62" spans="1:9" x14ac:dyDescent="0.35">
      <c r="A62" s="38" t="s">
        <v>42</v>
      </c>
      <c r="B62" s="38" t="s">
        <v>40</v>
      </c>
      <c r="C62" s="39">
        <v>60</v>
      </c>
      <c r="D62" s="39" t="s">
        <v>139</v>
      </c>
      <c r="E62" s="39">
        <v>9</v>
      </c>
      <c r="F62" s="39" t="s">
        <v>130</v>
      </c>
      <c r="G62" s="39">
        <v>4</v>
      </c>
      <c r="H62" s="39" t="s">
        <v>140</v>
      </c>
      <c r="I62" s="38" t="s">
        <v>141</v>
      </c>
    </row>
    <row r="63" spans="1:9" x14ac:dyDescent="0.35">
      <c r="A63" s="8" t="s">
        <v>43</v>
      </c>
      <c r="B63" s="8" t="s">
        <v>40</v>
      </c>
      <c r="C63" s="9">
        <v>50</v>
      </c>
      <c r="D63" s="9" t="s">
        <v>142</v>
      </c>
      <c r="E63" s="9">
        <v>6</v>
      </c>
      <c r="F63" s="9" t="s">
        <v>107</v>
      </c>
      <c r="G63" s="9">
        <v>1</v>
      </c>
      <c r="H63" s="9" t="s">
        <v>126</v>
      </c>
      <c r="I63" s="8" t="s">
        <v>143</v>
      </c>
    </row>
    <row r="64" spans="1:9" x14ac:dyDescent="0.35">
      <c r="A64" s="38" t="s">
        <v>44</v>
      </c>
      <c r="B64" s="38" t="s">
        <v>40</v>
      </c>
      <c r="C64" s="39">
        <v>27</v>
      </c>
      <c r="D64" s="39" t="s">
        <v>144</v>
      </c>
      <c r="E64" s="39">
        <v>1</v>
      </c>
      <c r="F64" s="39" t="s">
        <v>132</v>
      </c>
      <c r="G64" s="39">
        <v>0</v>
      </c>
      <c r="H64" s="39" t="s">
        <v>54</v>
      </c>
      <c r="I64" s="38" t="s">
        <v>145</v>
      </c>
    </row>
    <row r="65" spans="1:12" x14ac:dyDescent="0.35">
      <c r="A65" s="40" t="s">
        <v>6</v>
      </c>
      <c r="B65" s="40" t="s">
        <v>45</v>
      </c>
      <c r="C65" s="41">
        <v>967</v>
      </c>
      <c r="D65" s="42">
        <v>1</v>
      </c>
      <c r="E65" s="41">
        <v>105</v>
      </c>
      <c r="F65" s="42">
        <v>1</v>
      </c>
      <c r="G65" s="41">
        <v>41</v>
      </c>
      <c r="H65" s="42">
        <v>1</v>
      </c>
      <c r="I65" s="40"/>
    </row>
    <row r="68" spans="1:12" ht="16" x14ac:dyDescent="0.4">
      <c r="A68" s="43" t="s">
        <v>146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</row>
    <row r="69" spans="1:12" x14ac:dyDescent="0.35">
      <c r="A69" s="37" t="s">
        <v>47</v>
      </c>
      <c r="B69" s="37" t="s">
        <v>48</v>
      </c>
      <c r="C69" s="37" t="s">
        <v>29</v>
      </c>
      <c r="D69" s="37" t="s">
        <v>27</v>
      </c>
      <c r="E69" s="37" t="s">
        <v>49</v>
      </c>
      <c r="F69" s="37" t="s">
        <v>28</v>
      </c>
      <c r="G69" s="37" t="s">
        <v>50</v>
      </c>
      <c r="H69" s="37" t="s">
        <v>147</v>
      </c>
      <c r="I69" s="37" t="s">
        <v>148</v>
      </c>
      <c r="J69" s="37" t="s">
        <v>149</v>
      </c>
      <c r="K69" s="37" t="s">
        <v>150</v>
      </c>
      <c r="L69" s="37" t="s">
        <v>51</v>
      </c>
    </row>
    <row r="70" spans="1:12" x14ac:dyDescent="0.35">
      <c r="A70" s="44" t="s">
        <v>52</v>
      </c>
      <c r="B70" s="45">
        <v>14</v>
      </c>
      <c r="C70" s="45" t="s">
        <v>53</v>
      </c>
      <c r="D70" s="45">
        <v>0</v>
      </c>
      <c r="E70" s="45" t="s">
        <v>54</v>
      </c>
      <c r="F70" s="45">
        <v>0</v>
      </c>
      <c r="G70" s="45" t="s">
        <v>54</v>
      </c>
      <c r="H70" s="46">
        <v>0</v>
      </c>
      <c r="I70" s="47">
        <v>0</v>
      </c>
      <c r="J70" s="47">
        <v>0</v>
      </c>
      <c r="K70" s="44" t="s">
        <v>151</v>
      </c>
      <c r="L70" s="44" t="s">
        <v>55</v>
      </c>
    </row>
    <row r="71" spans="1:12" x14ac:dyDescent="0.35">
      <c r="A71" s="48" t="s">
        <v>56</v>
      </c>
      <c r="B71" s="49">
        <v>7</v>
      </c>
      <c r="C71" s="49" t="s">
        <v>57</v>
      </c>
      <c r="D71" s="49">
        <v>2</v>
      </c>
      <c r="E71" s="49" t="s">
        <v>117</v>
      </c>
      <c r="F71" s="49">
        <v>0</v>
      </c>
      <c r="G71" s="49" t="s">
        <v>54</v>
      </c>
      <c r="H71" s="50">
        <f>SUMIF('[1]Proposta de Redução HC'!E:E,"*Gestor*",'[1]Proposta de Redução HC'!F:F)</f>
        <v>7704.22</v>
      </c>
      <c r="I71" s="51">
        <f>SUMIF('[1]Proposta de Redução HC'!E:E,"*Gestor*",'[1]Proposta de Redução HC'!G:G)</f>
        <v>0</v>
      </c>
      <c r="J71" s="51">
        <f>SUMIF('[1]Proposta de Redução HC'!E:E,"*Gestor*",'[1]Proposta de Redução HC'!AA:AA)</f>
        <v>-121341.465</v>
      </c>
      <c r="K71" s="48" t="s">
        <v>152</v>
      </c>
      <c r="L71" s="48" t="s">
        <v>59</v>
      </c>
    </row>
    <row r="72" spans="1:12" x14ac:dyDescent="0.35">
      <c r="A72" s="44" t="s">
        <v>60</v>
      </c>
      <c r="B72" s="45">
        <v>3</v>
      </c>
      <c r="C72" s="45" t="s">
        <v>61</v>
      </c>
      <c r="D72" s="45">
        <v>3</v>
      </c>
      <c r="E72" s="45" t="s">
        <v>125</v>
      </c>
      <c r="F72" s="45">
        <v>2</v>
      </c>
      <c r="G72" s="45" t="s">
        <v>118</v>
      </c>
      <c r="H72" s="46">
        <f>SUMIF('[1]Proposta de Redução HC'!E:E,"*Trainee*",'[1]Proposta de Redução HC'!F:F)</f>
        <v>17492.43</v>
      </c>
      <c r="I72" s="47">
        <f>SUMIF('[1]Proposta de Redução HC'!E:E,"*Trainee*",'[1]Proposta de Redução HC'!G:G)</f>
        <v>32230.127842042501</v>
      </c>
      <c r="J72" s="47">
        <f>SUMIF('[1]Proposta de Redução HC'!E:E,"*Trainee*",'[1]Proposta de Redução HC'!AA:AA)</f>
        <v>-219660.86415795749</v>
      </c>
      <c r="K72" s="44" t="s">
        <v>153</v>
      </c>
      <c r="L72" s="44" t="s">
        <v>154</v>
      </c>
    </row>
    <row r="73" spans="1:12" x14ac:dyDescent="0.35">
      <c r="A73" s="48" t="s">
        <v>64</v>
      </c>
      <c r="B73" s="49">
        <v>68</v>
      </c>
      <c r="C73" s="49" t="s">
        <v>65</v>
      </c>
      <c r="D73" s="49">
        <v>18</v>
      </c>
      <c r="E73" s="49" t="s">
        <v>114</v>
      </c>
      <c r="F73" s="49">
        <v>13</v>
      </c>
      <c r="G73" s="49" t="s">
        <v>155</v>
      </c>
      <c r="H73" s="50">
        <f>SUMIF('[1]Proposta de Redução HC'!E:E,"*Lider*",'[1]Proposta de Redução HC'!F:F)</f>
        <v>33358.089999999997</v>
      </c>
      <c r="I73" s="51">
        <f>SUMIF('[1]Proposta de Redução HC'!E:E,"*Lider*",'[1]Proposta de Redução HC'!G:G)</f>
        <v>214268.77087859123</v>
      </c>
      <c r="J73" s="51">
        <f>SUMIF('[1]Proposta de Redução HC'!E:E,"*Lider*",'[1]Proposta de Redução HC'!AA:AA)</f>
        <v>-311121.1466214087</v>
      </c>
      <c r="K73" s="48" t="s">
        <v>153</v>
      </c>
      <c r="L73" s="48" t="s">
        <v>156</v>
      </c>
    </row>
    <row r="74" spans="1:12" x14ac:dyDescent="0.35">
      <c r="A74" s="44" t="s">
        <v>69</v>
      </c>
      <c r="B74" s="45">
        <v>287</v>
      </c>
      <c r="C74" s="45" t="s">
        <v>70</v>
      </c>
      <c r="D74" s="45">
        <v>32</v>
      </c>
      <c r="E74" s="45" t="s">
        <v>157</v>
      </c>
      <c r="F74" s="45">
        <v>0</v>
      </c>
      <c r="G74" s="45" t="s">
        <v>54</v>
      </c>
      <c r="H74" s="46">
        <f>SUMIF('[1]Proposta de Redução HC'!E:E,"*Operador*",'[1]Proposta de Redução HC'!F:F)</f>
        <v>23254.74</v>
      </c>
      <c r="I74" s="47">
        <f>SUMIF('[1]Proposta de Redução HC'!E:E,"*Operador*",'[1]Proposta de Redução HC'!G:G)</f>
        <v>65915.351558981842</v>
      </c>
      <c r="J74" s="47">
        <f>SUMIF('[1]Proposta de Redução HC'!E:E,"*Operador*",'[1]Proposta de Redução HC'!AA:AA)</f>
        <v>0</v>
      </c>
      <c r="K74" s="44" t="s">
        <v>151</v>
      </c>
      <c r="L74" s="44" t="s">
        <v>158</v>
      </c>
    </row>
    <row r="75" spans="1:12" x14ac:dyDescent="0.35">
      <c r="A75" s="48" t="s">
        <v>73</v>
      </c>
      <c r="B75" s="49">
        <v>89</v>
      </c>
      <c r="C75" s="49" t="s">
        <v>74</v>
      </c>
      <c r="D75" s="49">
        <v>8</v>
      </c>
      <c r="E75" s="49" t="s">
        <v>159</v>
      </c>
      <c r="F75" s="49">
        <v>0</v>
      </c>
      <c r="G75" s="49" t="s">
        <v>54</v>
      </c>
      <c r="H75" s="50">
        <f>SUMIF('[1]Proposta de Redução HC'!E:E,"*Motorista*",'[1]Proposta de Redução HC'!F:F)</f>
        <v>52609.889999999992</v>
      </c>
      <c r="I75" s="51">
        <f>SUMIF('[1]Proposta de Redução HC'!E:E,"*Motorista*",'[1]Proposta de Redução HC'!G:G)</f>
        <v>393029.55843341968</v>
      </c>
      <c r="J75" s="51">
        <f>SUMIF('[1]Proposta de Redução HC'!E:E,"*Motorista*",'[1]Proposta de Redução HC'!AA:AA)</f>
        <v>0</v>
      </c>
      <c r="K75" s="48" t="s">
        <v>151</v>
      </c>
      <c r="L75" s="48" t="s">
        <v>160</v>
      </c>
    </row>
    <row r="76" spans="1:12" x14ac:dyDescent="0.35">
      <c r="A76" s="44" t="s">
        <v>77</v>
      </c>
      <c r="B76" s="45">
        <v>98</v>
      </c>
      <c r="C76" s="45" t="s">
        <v>78</v>
      </c>
      <c r="D76" s="45">
        <v>12</v>
      </c>
      <c r="E76" s="45" t="s">
        <v>161</v>
      </c>
      <c r="F76" s="45">
        <v>0</v>
      </c>
      <c r="G76" s="45" t="s">
        <v>54</v>
      </c>
      <c r="H76" s="46">
        <f>SUMIF('[1]Proposta de Redução HC'!E:E,"*Mec*",'[1]Proposta de Redução HC'!F:F)</f>
        <v>43548.65</v>
      </c>
      <c r="I76" s="47">
        <f>SUMIF('[1]Proposta de Redução HC'!E:E,"*Mec*",'[1]Proposta de Redução HC'!G:G)</f>
        <v>153559.32080592003</v>
      </c>
      <c r="J76" s="47">
        <f>SUMIF('[1]Proposta de Redução HC'!E:E,"*Mec*",'[1]Proposta de Redução HC'!AA:AA)</f>
        <v>0</v>
      </c>
      <c r="K76" s="44" t="s">
        <v>151</v>
      </c>
      <c r="L76" s="44" t="s">
        <v>162</v>
      </c>
    </row>
    <row r="77" spans="1:12" x14ac:dyDescent="0.35">
      <c r="A77" s="48" t="s">
        <v>81</v>
      </c>
      <c r="B77" s="49">
        <v>24</v>
      </c>
      <c r="C77" s="49" t="s">
        <v>82</v>
      </c>
      <c r="D77" s="49">
        <v>4</v>
      </c>
      <c r="E77" s="49" t="s">
        <v>96</v>
      </c>
      <c r="F77" s="49">
        <v>0</v>
      </c>
      <c r="G77" s="49" t="s">
        <v>54</v>
      </c>
      <c r="H77" s="50">
        <f>SUMIF('[1]Proposta de Redução HC'!E:E,"*Eletr*",'[1]Proposta de Redução HC'!F:F)</f>
        <v>0</v>
      </c>
      <c r="I77" s="51">
        <f>SUMIF('[1]Proposta de Redução HC'!E:E,"*Eletr*",'[1]Proposta de Redução HC'!G:G)</f>
        <v>0</v>
      </c>
      <c r="J77" s="51">
        <f>SUMIF('[1]Proposta de Redução HC'!E:E,"*Eletr*",'[1]Proposta de Redução HC'!AA:AA)</f>
        <v>0</v>
      </c>
      <c r="K77" s="48" t="s">
        <v>151</v>
      </c>
      <c r="L77" s="48" t="s">
        <v>163</v>
      </c>
    </row>
    <row r="78" spans="1:12" x14ac:dyDescent="0.35">
      <c r="A78" s="44" t="s">
        <v>85</v>
      </c>
      <c r="B78" s="45">
        <v>42</v>
      </c>
      <c r="C78" s="45" t="s">
        <v>86</v>
      </c>
      <c r="D78" s="45">
        <v>8</v>
      </c>
      <c r="E78" s="45" t="s">
        <v>159</v>
      </c>
      <c r="F78" s="45">
        <v>9</v>
      </c>
      <c r="G78" s="45" t="s">
        <v>164</v>
      </c>
      <c r="H78" s="46">
        <f>SUMIF('[1]Proposta de Redução HC'!E:E,"*Auxiliar*",'[1]Proposta de Redução HC'!F:F)</f>
        <v>55999</v>
      </c>
      <c r="I78" s="47">
        <f>SUMIF('[1]Proposta de Redução HC'!E:E,"*Auxiliar*",'[1]Proposta de Redução HC'!G:G)</f>
        <v>210035.58324560439</v>
      </c>
      <c r="J78" s="47">
        <f>SUMIF('[1]Proposta de Redução HC'!E:E,"*Auxiliar*",'[1]Proposta de Redução HC'!AA:AA)</f>
        <v>-643106.10578459373</v>
      </c>
      <c r="K78" s="44" t="s">
        <v>153</v>
      </c>
      <c r="L78" s="44" t="s">
        <v>165</v>
      </c>
    </row>
    <row r="79" spans="1:12" x14ac:dyDescent="0.35">
      <c r="A79" s="48" t="s">
        <v>90</v>
      </c>
      <c r="B79" s="49">
        <v>12</v>
      </c>
      <c r="C79" s="49" t="s">
        <v>91</v>
      </c>
      <c r="D79" s="49">
        <v>4</v>
      </c>
      <c r="E79" s="49" t="s">
        <v>96</v>
      </c>
      <c r="F79" s="49">
        <v>4</v>
      </c>
      <c r="G79" s="49" t="s">
        <v>140</v>
      </c>
      <c r="H79" s="50">
        <f>SUMIF('[1]Proposta de Redução HC'!E:E,"*Analista*",'[1]Proposta de Redução HC'!F:F)</f>
        <v>8198.66</v>
      </c>
      <c r="I79" s="51">
        <f>SUMIF('[1]Proposta de Redução HC'!E:E,"*Analista*",'[1]Proposta de Redução HC'!G:G)</f>
        <v>0</v>
      </c>
      <c r="J79" s="51">
        <f>SUMIF('[1]Proposta de Redução HC'!E:E,"*Analista*",'[1]Proposta de Redução HC'!AA:AA)</f>
        <v>-118060.704</v>
      </c>
      <c r="K79" s="48" t="s">
        <v>153</v>
      </c>
      <c r="L79" s="48" t="s">
        <v>166</v>
      </c>
    </row>
    <row r="80" spans="1:12" x14ac:dyDescent="0.35">
      <c r="A80" s="44" t="s">
        <v>94</v>
      </c>
      <c r="B80" s="45">
        <v>156</v>
      </c>
      <c r="C80" s="45" t="s">
        <v>95</v>
      </c>
      <c r="D80" s="45">
        <v>6</v>
      </c>
      <c r="E80" s="45" t="s">
        <v>107</v>
      </c>
      <c r="F80" s="45">
        <v>6</v>
      </c>
      <c r="G80" s="45" t="s">
        <v>167</v>
      </c>
      <c r="H80" s="46">
        <f>SUMIF('[1]Proposta de Redução HC'!E:E,"*Rural*",'[1]Proposta de Redução HC'!F:F)</f>
        <v>1688</v>
      </c>
      <c r="I80" s="47">
        <f>SUMIF('[1]Proposta de Redução HC'!E:E,"*Rural*",'[1]Proposta de Redução HC'!G:G)</f>
        <v>0</v>
      </c>
      <c r="J80" s="47">
        <f>SUMIF('[1]Proposta de Redução HC'!E:E,"*Rural*",'[1]Proposta de Redução HC'!AA:AA)</f>
        <v>-477535.2</v>
      </c>
      <c r="K80" s="44" t="s">
        <v>153</v>
      </c>
      <c r="L80" s="44" t="s">
        <v>97</v>
      </c>
    </row>
    <row r="81" spans="1:18" x14ac:dyDescent="0.35">
      <c r="A81" s="48" t="s">
        <v>98</v>
      </c>
      <c r="B81" s="49">
        <v>45</v>
      </c>
      <c r="C81" s="49" t="s">
        <v>99</v>
      </c>
      <c r="D81" s="49">
        <v>3</v>
      </c>
      <c r="E81" s="49" t="s">
        <v>125</v>
      </c>
      <c r="F81" s="49">
        <v>0</v>
      </c>
      <c r="G81" s="49" t="s">
        <v>54</v>
      </c>
      <c r="H81" s="50">
        <f>SUMIF('[1]Proposta de Redução HC'!E:E,"*Brigad*",'[1]Proposta de Redução HC'!F:F)</f>
        <v>25353.899999999994</v>
      </c>
      <c r="I81" s="51">
        <f>SUMIF('[1]Proposta de Redução HC'!E:E,"*Brigad*",'[1]Proposta de Redução HC'!G:G)</f>
        <v>223229.11693005415</v>
      </c>
      <c r="J81" s="51">
        <f>SUMIF('[1]Proposta de Redução HC'!E:E,"*Brigad*",'[1]Proposta de Redução HC'!AA:AA)</f>
        <v>0</v>
      </c>
      <c r="K81" s="48" t="s">
        <v>151</v>
      </c>
      <c r="L81" s="48" t="s">
        <v>168</v>
      </c>
    </row>
    <row r="82" spans="1:18" x14ac:dyDescent="0.35">
      <c r="A82" s="44" t="s">
        <v>102</v>
      </c>
      <c r="B82" s="45">
        <v>34</v>
      </c>
      <c r="C82" s="45" t="s">
        <v>103</v>
      </c>
      <c r="D82" s="45">
        <v>0</v>
      </c>
      <c r="E82" s="45" t="s">
        <v>54</v>
      </c>
      <c r="F82" s="45">
        <v>0</v>
      </c>
      <c r="G82" s="45" t="s">
        <v>54</v>
      </c>
      <c r="H82" s="46">
        <v>0</v>
      </c>
      <c r="I82" s="47">
        <v>0</v>
      </c>
      <c r="J82" s="47">
        <v>0</v>
      </c>
      <c r="K82" s="44" t="s">
        <v>151</v>
      </c>
      <c r="L82" s="44" t="s">
        <v>169</v>
      </c>
    </row>
    <row r="83" spans="1:18" x14ac:dyDescent="0.35">
      <c r="A83" s="48" t="s">
        <v>105</v>
      </c>
      <c r="B83" s="49">
        <v>88</v>
      </c>
      <c r="C83" s="49" t="s">
        <v>106</v>
      </c>
      <c r="D83" s="49">
        <v>5</v>
      </c>
      <c r="E83" s="49" t="s">
        <v>170</v>
      </c>
      <c r="F83" s="49">
        <v>7</v>
      </c>
      <c r="G83" s="49" t="s">
        <v>114</v>
      </c>
      <c r="H83" s="50">
        <f>SUMIF('[1]Proposta de Redução HC'!E:E,"*Control*",'[1]Proposta de Redução HC'!F:F)+SUMIF('[1]Proposta de Redução HC'!E:E,"*Assistente*",'[1]Proposta de Redução HC'!F:F)+SUMIF('[1]Proposta de Redução HC'!E:E,"*Administrador*",'[1]Proposta de Redução HC'!F:F)+SUMIF('[1]Proposta de Redução HC'!E:E,"*Lavador*",'[1]Proposta de Redução HC'!F:F)+SUMIF('[1]Proposta de Redução HC'!E:E,"*Oficial*",'[1]Proposta de Redução HC'!F:F)</f>
        <v>38388.810000000005</v>
      </c>
      <c r="I83" s="51">
        <f>SUMIF('[1]Proposta de Redução HC'!E:E,"*Control*",'[1]Proposta de Redução HC'!G:G)+SUMIF('[1]Proposta de Redução HC'!E:E,"*Assistente*",'[1]Proposta de Redução HC'!G:G)+SUMIF('[1]Proposta de Redução HC'!E:E,"*Administrador*",'[1]Proposta de Redução HC'!G:G)+SUMIF('[1]Proposta de Redução HC'!E:E,"*Lavador*",'[1]Proposta de Redução HC'!G:G)+SUMIF('[1]Proposta de Redução HC'!E:E,"*Oficial*",'[1]Proposta de Redução HC'!G:G)</f>
        <v>141952.24849166317</v>
      </c>
      <c r="J83" s="51">
        <f>SUMIF('[1]Proposta de Redução HC'!E:E,"*Control*",'[1]Proposta de Redução HC'!AA:AA)+SUMIF('[1]Proposta de Redução HC'!E:E,"*Assistente*",'[1]Proposta de Redução HC'!AA:AA)+SUMIF('[1]Proposta de Redução HC'!E:E,"*Administrador*",'[1]Proposta de Redução HC'!AA:AA)+SUMIF('[1]Proposta de Redução HC'!E:E,"*Lavador*",'[1]Proposta de Redução HC'!AA:AA)+SUMIF('[1]Proposta de Redução HC'!E:E,"*Oficial*",'[1]Proposta de Redução HC'!AA:AA)</f>
        <v>-434561.89000833692</v>
      </c>
      <c r="K83" s="48" t="s">
        <v>153</v>
      </c>
      <c r="L83" s="48" t="s">
        <v>109</v>
      </c>
    </row>
    <row r="84" spans="1:18" x14ac:dyDescent="0.35">
      <c r="A84" s="40" t="s">
        <v>6</v>
      </c>
      <c r="B84" s="41">
        <f>SUM(B70:B83)</f>
        <v>967</v>
      </c>
      <c r="C84" s="42">
        <v>1</v>
      </c>
      <c r="D84" s="41">
        <f>SUM(D70:D83)</f>
        <v>105</v>
      </c>
      <c r="E84" s="42">
        <v>1</v>
      </c>
      <c r="F84" s="41">
        <f>SUM(F70:F83)</f>
        <v>41</v>
      </c>
      <c r="G84" s="42">
        <v>1</v>
      </c>
      <c r="H84" s="52">
        <f>SUM(H70:H83)</f>
        <v>307596.38999999996</v>
      </c>
      <c r="I84" s="53">
        <f>SUM(I70:I83)</f>
        <v>1434220.0781862771</v>
      </c>
      <c r="J84" s="53">
        <f>'[1]Proposta de Redução HC'!AA90</f>
        <v>-3442598.7967437799</v>
      </c>
      <c r="K84" s="40" t="s">
        <v>45</v>
      </c>
      <c r="L84" s="40"/>
    </row>
    <row r="86" spans="1:18" x14ac:dyDescent="0.35">
      <c r="A86" s="54" t="s">
        <v>171</v>
      </c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</row>
    <row r="89" spans="1:18" ht="30" customHeight="1" x14ac:dyDescent="0.45">
      <c r="A89" s="55" t="s">
        <v>172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35">
      <c r="A90" s="56" t="s">
        <v>173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2" spans="1:18" x14ac:dyDescent="0.35">
      <c r="A92" s="27" t="s">
        <v>174</v>
      </c>
      <c r="B92" s="27" t="s">
        <v>175</v>
      </c>
      <c r="C92" s="27" t="s">
        <v>176</v>
      </c>
      <c r="D92" s="27" t="s">
        <v>177</v>
      </c>
      <c r="E92" s="27" t="s">
        <v>178</v>
      </c>
      <c r="F92" s="27" t="s">
        <v>179</v>
      </c>
      <c r="G92" s="27" t="s">
        <v>180</v>
      </c>
      <c r="H92" s="27" t="s">
        <v>181</v>
      </c>
      <c r="I92" s="27" t="s">
        <v>182</v>
      </c>
      <c r="J92" s="27" t="s">
        <v>183</v>
      </c>
      <c r="K92" s="27" t="s">
        <v>184</v>
      </c>
      <c r="L92" s="27" t="s">
        <v>51</v>
      </c>
    </row>
    <row r="93" spans="1:18" x14ac:dyDescent="0.35">
      <c r="A93" t="s">
        <v>185</v>
      </c>
      <c r="B93" t="s">
        <v>186</v>
      </c>
      <c r="C93" s="57">
        <f>'[1]Proposta de Redução Agr e Aut.'!F3</f>
        <v>3223174.5</v>
      </c>
      <c r="D93">
        <f>'[1]Proposta de Redução Agr e Aut.'!J3</f>
        <v>15742</v>
      </c>
      <c r="E93" t="s">
        <v>187</v>
      </c>
      <c r="F93" s="57">
        <f>'[1]Proposta de Redução Agr e Aut.'!K3</f>
        <v>31484</v>
      </c>
      <c r="G93" s="57">
        <f>'[1]Proposta de Redução Agr e Aut.'!L3</f>
        <v>47226</v>
      </c>
      <c r="H93" s="57">
        <f>'[1]Proposta de Redução Agr e Aut.'!M3</f>
        <v>62968</v>
      </c>
      <c r="I93" s="58">
        <f>'[1]Proposta de Redução Agr e Aut.'!N3</f>
        <v>6649638.4174079988</v>
      </c>
      <c r="J93" s="58">
        <f>'[1]Proposta de Redução Agr e Aut.'!O3</f>
        <v>9974457.6261119992</v>
      </c>
      <c r="K93" s="58">
        <f>'[1]Proposta de Redução Agr e Aut.'!P3</f>
        <v>13299276.834815998</v>
      </c>
      <c r="L93" t="s">
        <v>188</v>
      </c>
    </row>
    <row r="94" spans="1:18" x14ac:dyDescent="0.35">
      <c r="A94" t="s">
        <v>185</v>
      </c>
      <c r="B94" t="s">
        <v>189</v>
      </c>
      <c r="C94" s="57">
        <f>'[1]Proposta de Redução Agr e Aut.'!F4</f>
        <v>1609650</v>
      </c>
      <c r="D94">
        <f>'[1]Proposta de Redução Agr e Aut.'!J4</f>
        <v>4500</v>
      </c>
      <c r="E94" t="s">
        <v>190</v>
      </c>
      <c r="F94" s="57">
        <f>'[1]Proposta de Redução Agr e Aut.'!K4</f>
        <v>6750</v>
      </c>
      <c r="G94" s="57">
        <f>'[1]Proposta de Redução Agr e Aut.'!L4</f>
        <v>16875</v>
      </c>
      <c r="H94" s="57">
        <f>'[1]Proposta de Redução Agr e Aut.'!M4</f>
        <v>27000</v>
      </c>
      <c r="I94" s="58">
        <f>'[1]Proposta de Redução Agr e Aut.'!N4</f>
        <v>1425646.6560000002</v>
      </c>
      <c r="J94" s="58">
        <f>'[1]Proposta de Redução Agr e Aut.'!O4</f>
        <v>3564116.6399999997</v>
      </c>
      <c r="K94" s="58">
        <f>'[1]Proposta de Redução Agr e Aut.'!P4</f>
        <v>5702586.6240000008</v>
      </c>
      <c r="L94" t="s">
        <v>191</v>
      </c>
    </row>
    <row r="95" spans="1:18" x14ac:dyDescent="0.35">
      <c r="A95" t="s">
        <v>185</v>
      </c>
      <c r="B95" t="s">
        <v>192</v>
      </c>
      <c r="C95" s="57">
        <f>'[1]Proposta de Redução Agr e Aut.'!F5</f>
        <v>1134000</v>
      </c>
      <c r="D95">
        <f>'[1]Proposta de Redução Agr e Aut.'!J5</f>
        <v>4200</v>
      </c>
      <c r="E95" t="s">
        <v>193</v>
      </c>
      <c r="F95" s="57">
        <f>'[1]Proposta de Redução Agr e Aut.'!K5</f>
        <v>7000</v>
      </c>
      <c r="G95" s="57">
        <f>'[1]Proposta de Redução Agr e Aut.'!L5</f>
        <v>14000</v>
      </c>
      <c r="H95" s="57">
        <f>'[1]Proposta de Redução Agr e Aut.'!M5</f>
        <v>21000</v>
      </c>
      <c r="I95" s="58">
        <f>'[1]Proposta de Redução Agr e Aut.'!N5</f>
        <v>1478448.3840000001</v>
      </c>
      <c r="J95" s="58">
        <f>'[1]Proposta de Redução Agr e Aut.'!O5</f>
        <v>2956896.7680000002</v>
      </c>
      <c r="K95" s="58">
        <f>'[1]Proposta de Redução Agr e Aut.'!P5</f>
        <v>4435345.1519999998</v>
      </c>
      <c r="L95" t="s">
        <v>194</v>
      </c>
    </row>
    <row r="96" spans="1:18" x14ac:dyDescent="0.35">
      <c r="A96" t="s">
        <v>185</v>
      </c>
      <c r="B96" t="s">
        <v>195</v>
      </c>
      <c r="C96" s="57">
        <f>'[1]Proposta de Redução Agr e Aut.'!F6</f>
        <v>297894.45</v>
      </c>
      <c r="D96">
        <f>'[1]Proposta de Redução Agr e Aut.'!J6</f>
        <v>1124.1300000000001</v>
      </c>
      <c r="E96" t="s">
        <v>187</v>
      </c>
      <c r="F96" s="57">
        <f>'[1]Proposta de Redução Agr e Aut.'!K6</f>
        <v>3372.3900000000003</v>
      </c>
      <c r="G96" s="57">
        <f>'[1]Proposta de Redução Agr e Aut.'!L6</f>
        <v>4496.5200000000004</v>
      </c>
      <c r="H96" s="57">
        <f>'[1]Proposta de Redução Agr e Aut.'!M6</f>
        <v>5620.6500000000005</v>
      </c>
      <c r="I96" s="58">
        <f>'[1]Proposta de Redução Agr e Aut.'!N6</f>
        <v>712272.07795968</v>
      </c>
      <c r="J96" s="58">
        <f>'[1]Proposta de Redução Agr e Aut.'!O6</f>
        <v>949696.10394623992</v>
      </c>
      <c r="K96" s="58">
        <f>'[1]Proposta de Redução Agr e Aut.'!P6</f>
        <v>1187120.1299328001</v>
      </c>
      <c r="L96" t="s">
        <v>196</v>
      </c>
    </row>
    <row r="97" spans="1:12" x14ac:dyDescent="0.35">
      <c r="A97" t="s">
        <v>185</v>
      </c>
      <c r="B97" t="s">
        <v>197</v>
      </c>
      <c r="C97" s="57">
        <f>'[1]Proposta de Redução Agr e Aut.'!F7</f>
        <v>94704.814400000003</v>
      </c>
      <c r="D97">
        <f>'[1]Proposta de Redução Agr e Aut.'!J7</f>
        <v>1412.24</v>
      </c>
      <c r="E97" t="s">
        <v>198</v>
      </c>
      <c r="F97" s="57">
        <f>'[1]Proposta de Redução Agr e Aut.'!K7</f>
        <v>4236.72</v>
      </c>
      <c r="G97" s="57">
        <f>'[1]Proposta de Redução Agr e Aut.'!L7</f>
        <v>4942.84</v>
      </c>
      <c r="H97" s="57">
        <f>'[1]Proposta de Redução Agr e Aut.'!M7</f>
        <v>5648.96</v>
      </c>
      <c r="I97" s="58">
        <f>'[1]Proposta de Redução Agr e Aut.'!N7</f>
        <v>894824.54820863996</v>
      </c>
      <c r="J97" s="58">
        <f>'[1]Proposta de Redução Agr e Aut.'!O7</f>
        <v>1043961.97291008</v>
      </c>
      <c r="K97" s="58">
        <f>'[1]Proposta de Redução Agr e Aut.'!P7</f>
        <v>1193099.39761152</v>
      </c>
      <c r="L97" t="s">
        <v>199</v>
      </c>
    </row>
    <row r="98" spans="1:12" x14ac:dyDescent="0.35">
      <c r="A98" t="s">
        <v>185</v>
      </c>
      <c r="B98" t="s">
        <v>200</v>
      </c>
      <c r="C98" s="57">
        <f>SUM('[1]Proposta de Redução Agr e Aut.'!F8:F14)</f>
        <v>1786390.1</v>
      </c>
      <c r="D98">
        <v>13900</v>
      </c>
      <c r="E98" t="s">
        <v>201</v>
      </c>
      <c r="F98" s="57">
        <f>'[1]Proposta de Redução Agr e Aut.'!K8</f>
        <v>41700</v>
      </c>
      <c r="G98" s="57">
        <f>'[1]Proposta de Redução Agr e Aut.'!L8</f>
        <v>55600</v>
      </c>
      <c r="H98" s="57">
        <f>'[1]Proposta de Redução Agr e Aut.'!M8</f>
        <v>69500</v>
      </c>
      <c r="I98" s="58">
        <f>'[1]Proposta de Redução Agr e Aut.'!N8</f>
        <v>8807328.2303999998</v>
      </c>
      <c r="J98" s="58">
        <f>'[1]Proposta de Redução Agr e Aut.'!O8</f>
        <v>11743104.3072</v>
      </c>
      <c r="K98" s="58">
        <f>'[1]Proposta de Redução Agr e Aut.'!P8</f>
        <v>14678880.384</v>
      </c>
      <c r="L98" t="s">
        <v>202</v>
      </c>
    </row>
    <row r="99" spans="1:12" x14ac:dyDescent="0.35">
      <c r="A99" t="s">
        <v>185</v>
      </c>
      <c r="B99" t="s">
        <v>203</v>
      </c>
      <c r="C99" s="57">
        <f>'[1]Proposta de Redução Agr e Aut.'!F15</f>
        <v>392000</v>
      </c>
      <c r="D99">
        <f>'[1]Proposta de Redução Agr e Aut.'!J15</f>
        <v>7000</v>
      </c>
      <c r="E99" t="s">
        <v>204</v>
      </c>
      <c r="F99" s="57">
        <f>'[1]Proposta de Redução Agr e Aut.'!K15</f>
        <v>4666.6666666666661</v>
      </c>
      <c r="G99" s="57">
        <f>'[1]Proposta de Redução Agr e Aut.'!L15</f>
        <v>9333.3333333333321</v>
      </c>
      <c r="H99" s="57">
        <f>'[1]Proposta de Redução Agr e Aut.'!M15</f>
        <v>14000</v>
      </c>
      <c r="I99" s="58">
        <f>'[1]Proposta de Redução Agr e Aut.'!N15</f>
        <v>985632.25599999982</v>
      </c>
      <c r="J99" s="58">
        <f>'[1]Proposta de Redução Agr e Aut.'!O15</f>
        <v>1971264.5119999996</v>
      </c>
      <c r="K99" s="58">
        <f>'[1]Proposta de Redução Agr e Aut.'!P15</f>
        <v>2956896.7680000002</v>
      </c>
      <c r="L99" t="s">
        <v>205</v>
      </c>
    </row>
    <row r="100" spans="1:12" x14ac:dyDescent="0.35">
      <c r="A100" s="59" t="s">
        <v>206</v>
      </c>
      <c r="B100" s="59"/>
      <c r="C100" s="60">
        <f>SUM(C93:C99)</f>
        <v>8537813.8643999994</v>
      </c>
      <c r="D100" s="61" t="s">
        <v>45</v>
      </c>
      <c r="E100" s="61" t="s">
        <v>45</v>
      </c>
      <c r="F100" s="60">
        <f>SUM(F93:F99)</f>
        <v>99209.776666666672</v>
      </c>
      <c r="G100" s="60">
        <f>SUM(G93:G99)</f>
        <v>152473.69333333333</v>
      </c>
      <c r="H100" s="60">
        <f>SUM(H93:H99)</f>
        <v>205737.61</v>
      </c>
      <c r="I100" s="62">
        <f>SUM(I93:I99)</f>
        <v>20953790.569976319</v>
      </c>
      <c r="J100" s="62">
        <f>SUM(J93:J99)</f>
        <v>32203497.930168316</v>
      </c>
      <c r="K100" s="62">
        <f>SUM(K93:K99)</f>
        <v>43453205.290360317</v>
      </c>
      <c r="L100" s="61"/>
    </row>
    <row r="102" spans="1:12" x14ac:dyDescent="0.35">
      <c r="A102" s="63" t="s">
        <v>207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35">
      <c r="A103" s="64" t="s">
        <v>174</v>
      </c>
      <c r="B103" s="64" t="s">
        <v>175</v>
      </c>
      <c r="C103" s="64" t="s">
        <v>176</v>
      </c>
      <c r="D103" s="64" t="s">
        <v>51</v>
      </c>
    </row>
    <row r="104" spans="1:12" x14ac:dyDescent="0.35">
      <c r="A104" t="s">
        <v>185</v>
      </c>
      <c r="B104" t="s">
        <v>208</v>
      </c>
      <c r="C104" s="57">
        <f>'[1]Proposta de Redução Agr e Aut.'!F16</f>
        <v>5000</v>
      </c>
    </row>
    <row r="105" spans="1:12" x14ac:dyDescent="0.35">
      <c r="A105" t="s">
        <v>185</v>
      </c>
      <c r="B105" t="s">
        <v>209</v>
      </c>
      <c r="C105" s="57">
        <f>'[1]Proposta de Redução Agr e Aut.'!F17</f>
        <v>120000</v>
      </c>
    </row>
    <row r="106" spans="1:12" x14ac:dyDescent="0.35">
      <c r="A106" t="s">
        <v>185</v>
      </c>
      <c r="B106" t="s">
        <v>210</v>
      </c>
      <c r="C106" s="57">
        <f>'[1]Proposta de Redução Agr e Aut.'!F18</f>
        <v>60000</v>
      </c>
    </row>
    <row r="107" spans="1:12" x14ac:dyDescent="0.35">
      <c r="A107" t="s">
        <v>185</v>
      </c>
      <c r="B107" t="s">
        <v>211</v>
      </c>
      <c r="C107" s="57">
        <f>'[1]Proposta de Redução Agr e Aut.'!F19</f>
        <v>26000</v>
      </c>
      <c r="D107" t="s">
        <v>212</v>
      </c>
    </row>
    <row r="108" spans="1:12" x14ac:dyDescent="0.35">
      <c r="A108" t="s">
        <v>185</v>
      </c>
      <c r="B108" t="s">
        <v>213</v>
      </c>
      <c r="C108" s="57">
        <f>'[1]Proposta de Redução Agr e Aut.'!F20</f>
        <v>20000</v>
      </c>
    </row>
    <row r="109" spans="1:12" x14ac:dyDescent="0.35">
      <c r="A109" t="s">
        <v>185</v>
      </c>
      <c r="B109" t="s">
        <v>214</v>
      </c>
      <c r="C109" s="57">
        <f>'[1]Proposta de Redução Agr e Aut.'!F21</f>
        <v>25000</v>
      </c>
      <c r="D109" t="s">
        <v>215</v>
      </c>
    </row>
    <row r="110" spans="1:12" x14ac:dyDescent="0.35">
      <c r="A110" t="s">
        <v>185</v>
      </c>
      <c r="B110" t="s">
        <v>216</v>
      </c>
      <c r="C110" s="57">
        <f>'[1]Proposta de Redução Agr e Aut.'!F22</f>
        <v>30000</v>
      </c>
    </row>
    <row r="111" spans="1:12" x14ac:dyDescent="0.35">
      <c r="A111" t="s">
        <v>185</v>
      </c>
      <c r="B111" t="s">
        <v>217</v>
      </c>
      <c r="C111" s="57">
        <f>'[1]Proposta de Redução Agr e Aut.'!F23</f>
        <v>184000</v>
      </c>
    </row>
    <row r="112" spans="1:12" x14ac:dyDescent="0.35">
      <c r="A112" t="s">
        <v>185</v>
      </c>
      <c r="B112" t="s">
        <v>218</v>
      </c>
      <c r="C112" s="57">
        <f>'[1]Proposta de Redução Agr e Aut.'!F24</f>
        <v>16000</v>
      </c>
      <c r="D112" t="s">
        <v>219</v>
      </c>
    </row>
    <row r="113" spans="1:4" x14ac:dyDescent="0.35">
      <c r="A113" t="s">
        <v>185</v>
      </c>
      <c r="B113" t="s">
        <v>220</v>
      </c>
      <c r="C113" s="57">
        <f>'[1]Proposta de Redução Agr e Aut.'!F25</f>
        <v>85000</v>
      </c>
      <c r="D113" t="s">
        <v>221</v>
      </c>
    </row>
    <row r="114" spans="1:4" x14ac:dyDescent="0.35">
      <c r="A114" t="s">
        <v>185</v>
      </c>
      <c r="B114" t="s">
        <v>222</v>
      </c>
      <c r="C114" s="57">
        <f>'[1]Proposta de Redução Agr e Aut.'!F26</f>
        <v>218000</v>
      </c>
      <c r="D114" t="s">
        <v>223</v>
      </c>
    </row>
    <row r="115" spans="1:4" x14ac:dyDescent="0.35">
      <c r="A115" t="s">
        <v>185</v>
      </c>
      <c r="B115" t="s">
        <v>224</v>
      </c>
      <c r="C115" s="57">
        <f>'[1]Proposta de Redução Agr e Aut.'!F27</f>
        <v>239000</v>
      </c>
      <c r="D115" t="s">
        <v>225</v>
      </c>
    </row>
    <row r="116" spans="1:4" x14ac:dyDescent="0.35">
      <c r="A116" t="s">
        <v>185</v>
      </c>
      <c r="B116" t="s">
        <v>226</v>
      </c>
      <c r="C116" s="57">
        <f>'[1]Proposta de Redução Agr e Aut.'!F28</f>
        <v>54000</v>
      </c>
      <c r="D116" t="s">
        <v>227</v>
      </c>
    </row>
    <row r="117" spans="1:4" x14ac:dyDescent="0.35">
      <c r="A117" s="65" t="s">
        <v>228</v>
      </c>
      <c r="B117" s="65"/>
      <c r="C117" s="66">
        <f>SUM(C104:C116)</f>
        <v>1082000</v>
      </c>
      <c r="D117" s="67"/>
    </row>
    <row r="118" spans="1:4" x14ac:dyDescent="0.35">
      <c r="A118" s="68" t="s">
        <v>229</v>
      </c>
      <c r="B118" s="2"/>
      <c r="C118" s="69"/>
      <c r="D118" s="2"/>
    </row>
    <row r="119" spans="1:4" x14ac:dyDescent="0.35">
      <c r="A119" t="s">
        <v>230</v>
      </c>
      <c r="B119" t="s">
        <v>231</v>
      </c>
      <c r="C119" s="57">
        <f>'[1]Proposta de Redução Agr e Aut.'!F29</f>
        <v>75000</v>
      </c>
      <c r="D119" t="s">
        <v>232</v>
      </c>
    </row>
    <row r="120" spans="1:4" x14ac:dyDescent="0.35">
      <c r="A120" t="s">
        <v>230</v>
      </c>
      <c r="B120" t="s">
        <v>233</v>
      </c>
      <c r="C120" s="57">
        <f>'[1]Proposta de Redução Agr e Aut.'!F30</f>
        <v>65000</v>
      </c>
    </row>
    <row r="121" spans="1:4" x14ac:dyDescent="0.35">
      <c r="A121" t="s">
        <v>230</v>
      </c>
      <c r="B121" t="s">
        <v>234</v>
      </c>
      <c r="C121" s="57">
        <f>'[1]Proposta de Redução Agr e Aut.'!F31</f>
        <v>35000</v>
      </c>
    </row>
    <row r="122" spans="1:4" x14ac:dyDescent="0.35">
      <c r="A122" t="s">
        <v>230</v>
      </c>
      <c r="B122" t="s">
        <v>235</v>
      </c>
      <c r="C122" s="57">
        <f>'[1]Proposta de Redução Agr e Aut.'!F32</f>
        <v>170252.31999999983</v>
      </c>
    </row>
    <row r="123" spans="1:4" x14ac:dyDescent="0.35">
      <c r="A123" t="s">
        <v>230</v>
      </c>
      <c r="B123" t="s">
        <v>236</v>
      </c>
      <c r="C123" s="57">
        <f>'[1]Proposta de Redução Agr e Aut.'!F33</f>
        <v>155899.59999999986</v>
      </c>
      <c r="D123" t="s">
        <v>237</v>
      </c>
    </row>
    <row r="124" spans="1:4" x14ac:dyDescent="0.35">
      <c r="A124" t="s">
        <v>230</v>
      </c>
      <c r="B124" t="s">
        <v>238</v>
      </c>
      <c r="C124" s="57">
        <f>'[1]Proposta de Redução Agr e Aut.'!F34</f>
        <v>25000</v>
      </c>
    </row>
    <row r="125" spans="1:4" x14ac:dyDescent="0.35">
      <c r="A125" s="70" t="s">
        <v>239</v>
      </c>
      <c r="B125" s="70"/>
      <c r="C125" s="71">
        <f>SUM(C119:C124)</f>
        <v>526151.91999999969</v>
      </c>
      <c r="D125" s="72"/>
    </row>
    <row r="127" spans="1:4" x14ac:dyDescent="0.35">
      <c r="A127" s="28" t="s">
        <v>240</v>
      </c>
      <c r="C127" s="73">
        <f>C100+C117+C125</f>
        <v>10145965.784399999</v>
      </c>
    </row>
  </sheetData>
  <mergeCells count="15">
    <mergeCell ref="A117:B117"/>
    <mergeCell ref="A118:D118"/>
    <mergeCell ref="A125:B125"/>
    <mergeCell ref="A68:L68"/>
    <mergeCell ref="A86:L86"/>
    <mergeCell ref="A89:R89"/>
    <mergeCell ref="A90:L90"/>
    <mergeCell ref="A100:B100"/>
    <mergeCell ref="A102:L102"/>
    <mergeCell ref="A1:I1"/>
    <mergeCell ref="A2:I2"/>
    <mergeCell ref="A4:I4"/>
    <mergeCell ref="A13:H13"/>
    <mergeCell ref="A31:I31"/>
    <mergeCell ref="A50:I5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BDC7-6336-4EBF-B422-9615165CC9B8}">
  <dimension ref="B2:M60"/>
  <sheetViews>
    <sheetView showGridLines="0" topLeftCell="F1" workbookViewId="0">
      <selection activeCell="C127" sqref="C127"/>
    </sheetView>
  </sheetViews>
  <sheetFormatPr defaultRowHeight="14.5" outlineLevelRow="1" x14ac:dyDescent="0.35"/>
  <cols>
    <col min="1" max="1" width="3.26953125" customWidth="1"/>
    <col min="2" max="13" width="16.7265625" customWidth="1"/>
  </cols>
  <sheetData>
    <row r="2" spans="2:13" ht="38" customHeight="1" x14ac:dyDescent="0.75">
      <c r="B2" s="74" t="s">
        <v>241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2:13" ht="20" customHeight="1" x14ac:dyDescent="0.35">
      <c r="B3" s="76" t="s">
        <v>242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5" spans="2:13" ht="18" customHeight="1" x14ac:dyDescent="0.35">
      <c r="B5" s="89" t="s">
        <v>243</v>
      </c>
      <c r="C5" s="89"/>
      <c r="E5" s="90" t="s">
        <v>245</v>
      </c>
      <c r="F5" s="90"/>
      <c r="H5" s="91" t="s">
        <v>246</v>
      </c>
      <c r="I5" s="91"/>
      <c r="K5" s="92" t="s">
        <v>248</v>
      </c>
      <c r="L5" s="92"/>
    </row>
    <row r="6" spans="2:13" ht="40" customHeight="1" x14ac:dyDescent="0.35">
      <c r="B6" s="85">
        <f>'Apresentação Gerencial'!D6</f>
        <v>967</v>
      </c>
      <c r="C6" s="85"/>
      <c r="E6" s="86">
        <f>'Apresentação Gerencial'!D10</f>
        <v>41</v>
      </c>
      <c r="F6" s="86"/>
      <c r="H6" s="96">
        <f>-'Apresentação Gerencial'!J84</f>
        <v>3442598.7967437799</v>
      </c>
      <c r="I6" s="87"/>
      <c r="K6" s="97">
        <f>'Apresentação Gerencial'!C127</f>
        <v>10145965.784399999</v>
      </c>
      <c r="L6" s="88"/>
    </row>
    <row r="7" spans="2:13" ht="30" customHeight="1" x14ac:dyDescent="0.35">
      <c r="B7" s="81" t="s">
        <v>244</v>
      </c>
      <c r="C7" s="81"/>
      <c r="E7" s="93">
        <f>'Apresentação Gerencial'!D10/'Apresentação Gerencial'!D6</f>
        <v>4.2399172699069287E-2</v>
      </c>
      <c r="F7" s="82"/>
      <c r="H7" s="83" t="s">
        <v>247</v>
      </c>
      <c r="I7" s="83"/>
      <c r="K7" s="84" t="s">
        <v>249</v>
      </c>
      <c r="L7" s="84"/>
    </row>
    <row r="8" spans="2:13" ht="6" customHeight="1" x14ac:dyDescent="0.35">
      <c r="B8" s="77"/>
      <c r="C8" s="77"/>
      <c r="E8" s="78"/>
      <c r="F8" s="78"/>
      <c r="H8" s="79"/>
      <c r="I8" s="79"/>
      <c r="K8" s="80"/>
      <c r="L8" s="80"/>
    </row>
    <row r="10" spans="2:13" ht="16" x14ac:dyDescent="0.4">
      <c r="B10" s="94" t="s">
        <v>250</v>
      </c>
      <c r="H10" s="94" t="s">
        <v>251</v>
      </c>
    </row>
    <row r="30" spans="2:8" ht="16" x14ac:dyDescent="0.4">
      <c r="B30" s="94" t="s">
        <v>260</v>
      </c>
      <c r="H30" s="94" t="s">
        <v>261</v>
      </c>
    </row>
    <row r="40" spans="2:10" outlineLevel="1" x14ac:dyDescent="0.35">
      <c r="B40" s="95" t="s">
        <v>252</v>
      </c>
      <c r="C40" s="95"/>
      <c r="D40" s="95"/>
      <c r="E40" s="95" t="s">
        <v>254</v>
      </c>
      <c r="F40" s="95"/>
      <c r="G40" s="95"/>
      <c r="H40" s="95" t="s">
        <v>257</v>
      </c>
      <c r="I40" s="95"/>
      <c r="J40" s="95"/>
    </row>
    <row r="41" spans="2:10" outlineLevel="1" x14ac:dyDescent="0.35">
      <c r="B41" s="95" t="s">
        <v>253</v>
      </c>
      <c r="C41" s="95" t="s">
        <v>9</v>
      </c>
      <c r="D41" s="95"/>
      <c r="E41" s="95" t="s">
        <v>255</v>
      </c>
      <c r="F41" s="95" t="s">
        <v>256</v>
      </c>
      <c r="G41" s="95"/>
      <c r="H41" s="95" t="s">
        <v>255</v>
      </c>
      <c r="I41" s="95" t="s">
        <v>258</v>
      </c>
      <c r="J41" s="95" t="s">
        <v>259</v>
      </c>
    </row>
    <row r="42" spans="2:10" outlineLevel="1" x14ac:dyDescent="0.35">
      <c r="B42" s="95" t="str">
        <f>'Apresentação Gerencial'!A52</f>
        <v>Flávio</v>
      </c>
      <c r="C42" s="95">
        <f>'Apresentação Gerencial'!C52</f>
        <v>243</v>
      </c>
      <c r="D42" s="95"/>
      <c r="E42" s="95" t="str">
        <f>'Apresentação Gerencial'!A70</f>
        <v>Coordenação</v>
      </c>
      <c r="F42" s="95">
        <f>-'Apresentação Gerencial'!J70</f>
        <v>0</v>
      </c>
      <c r="G42" s="95"/>
      <c r="H42" s="95" t="str">
        <f>'Apresentação Gerencial'!A70</f>
        <v>Coordenação</v>
      </c>
      <c r="I42" s="95">
        <f>'Apresentação Gerencial'!D70</f>
        <v>0</v>
      </c>
      <c r="J42" s="95">
        <f>'Apresentação Gerencial'!F70</f>
        <v>0</v>
      </c>
    </row>
    <row r="43" spans="2:10" outlineLevel="1" x14ac:dyDescent="0.35">
      <c r="B43" s="95" t="str">
        <f>'Apresentação Gerencial'!A53</f>
        <v>Elias</v>
      </c>
      <c r="C43" s="95">
        <f>'Apresentação Gerencial'!C53</f>
        <v>182</v>
      </c>
      <c r="D43" s="95"/>
      <c r="E43" s="95" t="str">
        <f>'Apresentação Gerencial'!A71</f>
        <v>Gestor</v>
      </c>
      <c r="F43" s="95">
        <f>-'Apresentação Gerencial'!J71</f>
        <v>121341.465</v>
      </c>
      <c r="G43" s="95"/>
      <c r="H43" s="95" t="str">
        <f>'Apresentação Gerencial'!A71</f>
        <v>Gestor</v>
      </c>
      <c r="I43" s="95">
        <f>'Apresentação Gerencial'!D71</f>
        <v>2</v>
      </c>
      <c r="J43" s="95">
        <f>'Apresentação Gerencial'!F71</f>
        <v>0</v>
      </c>
    </row>
    <row r="44" spans="2:10" outlineLevel="1" x14ac:dyDescent="0.35">
      <c r="B44" s="95" t="str">
        <f>'Apresentação Gerencial'!A54</f>
        <v>Rogério</v>
      </c>
      <c r="C44" s="95">
        <f>'Apresentação Gerencial'!C54</f>
        <v>123</v>
      </c>
      <c r="D44" s="95"/>
      <c r="E44" s="95" t="str">
        <f>'Apresentação Gerencial'!A72</f>
        <v>Trainee</v>
      </c>
      <c r="F44" s="95">
        <f>-'Apresentação Gerencial'!J72</f>
        <v>219660.86415795749</v>
      </c>
      <c r="G44" s="95"/>
      <c r="H44" s="95" t="str">
        <f>'Apresentação Gerencial'!A72</f>
        <v>Trainee</v>
      </c>
      <c r="I44" s="95">
        <f>'Apresentação Gerencial'!D72</f>
        <v>3</v>
      </c>
      <c r="J44" s="95">
        <f>'Apresentação Gerencial'!F72</f>
        <v>2</v>
      </c>
    </row>
    <row r="45" spans="2:10" outlineLevel="1" x14ac:dyDescent="0.35">
      <c r="B45" s="95" t="str">
        <f>'Apresentação Gerencial'!A55</f>
        <v>Ronaldo</v>
      </c>
      <c r="C45" s="95">
        <f>'Apresentação Gerencial'!C55</f>
        <v>120</v>
      </c>
      <c r="D45" s="95"/>
      <c r="E45" s="95" t="str">
        <f>'Apresentação Gerencial'!A73</f>
        <v>Líder</v>
      </c>
      <c r="F45" s="95">
        <f>-'Apresentação Gerencial'!J73</f>
        <v>311121.1466214087</v>
      </c>
      <c r="G45" s="95"/>
      <c r="H45" s="95" t="str">
        <f>'Apresentação Gerencial'!A73</f>
        <v>Líder</v>
      </c>
      <c r="I45" s="95">
        <f>'Apresentação Gerencial'!D73</f>
        <v>18</v>
      </c>
      <c r="J45" s="95">
        <f>'Apresentação Gerencial'!F73</f>
        <v>13</v>
      </c>
    </row>
    <row r="46" spans="2:10" outlineLevel="1" x14ac:dyDescent="0.35">
      <c r="B46" s="95" t="str">
        <f>'Apresentação Gerencial'!A56</f>
        <v>Helena</v>
      </c>
      <c r="C46" s="95">
        <f>'Apresentação Gerencial'!C56</f>
        <v>34</v>
      </c>
      <c r="D46" s="95"/>
      <c r="E46" s="95" t="str">
        <f>'Apresentação Gerencial'!A74</f>
        <v>Operador</v>
      </c>
      <c r="F46" s="95">
        <f>-'Apresentação Gerencial'!J74</f>
        <v>0</v>
      </c>
      <c r="G46" s="95"/>
      <c r="H46" s="95" t="str">
        <f>'Apresentação Gerencial'!A74</f>
        <v>Operador</v>
      </c>
      <c r="I46" s="95">
        <f>'Apresentação Gerencial'!D74</f>
        <v>32</v>
      </c>
      <c r="J46" s="95">
        <f>'Apresentação Gerencial'!F74</f>
        <v>0</v>
      </c>
    </row>
    <row r="47" spans="2:10" outlineLevel="1" x14ac:dyDescent="0.35">
      <c r="B47" s="95" t="str">
        <f>'Apresentação Gerencial'!A57</f>
        <v>Laércio</v>
      </c>
      <c r="C47" s="95">
        <f>'Apresentação Gerencial'!C57</f>
        <v>32</v>
      </c>
      <c r="D47" s="95"/>
      <c r="E47" s="95" t="str">
        <f>'Apresentação Gerencial'!A75</f>
        <v>Motorista</v>
      </c>
      <c r="F47" s="95">
        <f>-'Apresentação Gerencial'!J75</f>
        <v>0</v>
      </c>
      <c r="G47" s="95"/>
      <c r="H47" s="95" t="str">
        <f>'Apresentação Gerencial'!A75</f>
        <v>Motorista</v>
      </c>
      <c r="I47" s="95">
        <f>'Apresentação Gerencial'!D75</f>
        <v>8</v>
      </c>
      <c r="J47" s="95">
        <f>'Apresentação Gerencial'!F75</f>
        <v>0</v>
      </c>
    </row>
    <row r="48" spans="2:10" outlineLevel="1" x14ac:dyDescent="0.35">
      <c r="B48" s="95" t="str">
        <f>'Apresentação Gerencial'!A58</f>
        <v>Pedro</v>
      </c>
      <c r="C48" s="95">
        <f>'Apresentação Gerencial'!C58</f>
        <v>12</v>
      </c>
      <c r="D48" s="95"/>
      <c r="E48" s="95" t="str">
        <f>'Apresentação Gerencial'!A76</f>
        <v>Mecânico</v>
      </c>
      <c r="F48" s="95">
        <f>-'Apresentação Gerencial'!J76</f>
        <v>0</v>
      </c>
      <c r="G48" s="95"/>
      <c r="H48" s="95" t="str">
        <f>'Apresentação Gerencial'!A76</f>
        <v>Mecânico</v>
      </c>
      <c r="I48" s="95">
        <f>'Apresentação Gerencial'!D76</f>
        <v>12</v>
      </c>
      <c r="J48" s="95">
        <f>'Apresentação Gerencial'!F76</f>
        <v>0</v>
      </c>
    </row>
    <row r="49" spans="2:10" outlineLevel="1" x14ac:dyDescent="0.35">
      <c r="B49" s="95" t="str">
        <f>'Apresentação Gerencial'!A59</f>
        <v>Everton</v>
      </c>
      <c r="C49" s="95">
        <f>'Apresentação Gerencial'!C59</f>
        <v>7</v>
      </c>
      <c r="D49" s="95"/>
      <c r="E49" s="95" t="str">
        <f>'Apresentação Gerencial'!A77</f>
        <v>Eletricista</v>
      </c>
      <c r="F49" s="95">
        <f>-'Apresentação Gerencial'!J77</f>
        <v>0</v>
      </c>
      <c r="G49" s="95"/>
      <c r="H49" s="95" t="str">
        <f>'Apresentação Gerencial'!A77</f>
        <v>Eletricista</v>
      </c>
      <c r="I49" s="95">
        <f>'Apresentação Gerencial'!D77</f>
        <v>4</v>
      </c>
      <c r="J49" s="95">
        <f>'Apresentação Gerencial'!F77</f>
        <v>0</v>
      </c>
    </row>
    <row r="50" spans="2:10" outlineLevel="1" x14ac:dyDescent="0.35">
      <c r="B50" s="95" t="str">
        <f>'Apresentação Gerencial'!A60</f>
        <v>Devanir</v>
      </c>
      <c r="C50" s="95">
        <f>'Apresentação Gerencial'!C60</f>
        <v>1</v>
      </c>
      <c r="D50" s="95"/>
      <c r="E50" s="95" t="str">
        <f>'Apresentação Gerencial'!A78</f>
        <v>Auxiliar</v>
      </c>
      <c r="F50" s="95">
        <f>-'Apresentação Gerencial'!J78</f>
        <v>643106.10578459373</v>
      </c>
      <c r="G50" s="95"/>
      <c r="H50" s="95" t="str">
        <f>'Apresentação Gerencial'!A78</f>
        <v>Auxiliar</v>
      </c>
      <c r="I50" s="95">
        <f>'Apresentação Gerencial'!D78</f>
        <v>8</v>
      </c>
      <c r="J50" s="95">
        <f>'Apresentação Gerencial'!F78</f>
        <v>9</v>
      </c>
    </row>
    <row r="51" spans="2:10" outlineLevel="1" x14ac:dyDescent="0.35">
      <c r="B51" s="95" t="str">
        <f>'Apresentação Gerencial'!A61</f>
        <v>Paulo</v>
      </c>
      <c r="C51" s="95">
        <f>'Apresentação Gerencial'!C61</f>
        <v>76</v>
      </c>
      <c r="D51" s="95"/>
      <c r="E51" s="95" t="str">
        <f>'Apresentação Gerencial'!A79</f>
        <v>Analista</v>
      </c>
      <c r="F51" s="95">
        <f>-'Apresentação Gerencial'!J79</f>
        <v>118060.704</v>
      </c>
      <c r="G51" s="95"/>
      <c r="H51" s="95" t="str">
        <f>'Apresentação Gerencial'!A79</f>
        <v>Analista</v>
      </c>
      <c r="I51" s="95">
        <f>'Apresentação Gerencial'!D79</f>
        <v>4</v>
      </c>
      <c r="J51" s="95">
        <f>'Apresentação Gerencial'!F79</f>
        <v>4</v>
      </c>
    </row>
    <row r="52" spans="2:10" outlineLevel="1" x14ac:dyDescent="0.35">
      <c r="B52" s="95" t="str">
        <f>'Apresentação Gerencial'!A62</f>
        <v>Adriano</v>
      </c>
      <c r="C52" s="95">
        <f>'Apresentação Gerencial'!C62</f>
        <v>60</v>
      </c>
      <c r="D52" s="95"/>
      <c r="E52" s="95" t="str">
        <f>'Apresentação Gerencial'!A80</f>
        <v>Rurais</v>
      </c>
      <c r="F52" s="95">
        <f>-'Apresentação Gerencial'!J80</f>
        <v>477535.2</v>
      </c>
      <c r="G52" s="95"/>
      <c r="H52" s="95" t="str">
        <f>'Apresentação Gerencial'!A80</f>
        <v>Rurais</v>
      </c>
      <c r="I52" s="95">
        <f>'Apresentação Gerencial'!D80</f>
        <v>6</v>
      </c>
      <c r="J52" s="95">
        <f>'Apresentação Gerencial'!F80</f>
        <v>6</v>
      </c>
    </row>
    <row r="53" spans="2:10" outlineLevel="1" x14ac:dyDescent="0.35">
      <c r="B53" s="95" t="str">
        <f>'Apresentação Gerencial'!A63</f>
        <v>Hugo</v>
      </c>
      <c r="C53" s="95">
        <f>'Apresentação Gerencial'!C63</f>
        <v>50</v>
      </c>
      <c r="D53" s="95"/>
      <c r="E53" s="95" t="str">
        <f>'Apresentação Gerencial'!A81</f>
        <v>Brigada</v>
      </c>
      <c r="F53" s="95">
        <f>-'Apresentação Gerencial'!J81</f>
        <v>0</v>
      </c>
      <c r="G53" s="95"/>
      <c r="H53" s="95" t="str">
        <f>'Apresentação Gerencial'!A81</f>
        <v>Brigada</v>
      </c>
      <c r="I53" s="95">
        <f>'Apresentação Gerencial'!D81</f>
        <v>3</v>
      </c>
      <c r="J53" s="95">
        <f>'Apresentação Gerencial'!F81</f>
        <v>0</v>
      </c>
    </row>
    <row r="54" spans="2:10" outlineLevel="1" x14ac:dyDescent="0.35">
      <c r="B54" s="95" t="str">
        <f>'Apresentação Gerencial'!A64</f>
        <v>Luiz Jr.</v>
      </c>
      <c r="C54" s="95">
        <f>'Apresentação Gerencial'!C64</f>
        <v>27</v>
      </c>
      <c r="D54" s="95"/>
      <c r="E54" s="95" t="str">
        <f>'Apresentação Gerencial'!A82</f>
        <v>Qualidade</v>
      </c>
      <c r="F54" s="95">
        <f>-'Apresentação Gerencial'!J82</f>
        <v>0</v>
      </c>
      <c r="G54" s="95"/>
      <c r="H54" s="95" t="str">
        <f>'Apresentação Gerencial'!A82</f>
        <v>Qualidade</v>
      </c>
      <c r="I54" s="95">
        <f>'Apresentação Gerencial'!D82</f>
        <v>0</v>
      </c>
      <c r="J54" s="95">
        <f>'Apresentação Gerencial'!F82</f>
        <v>0</v>
      </c>
    </row>
    <row r="55" spans="2:10" outlineLevel="1" x14ac:dyDescent="0.35">
      <c r="B55" s="95"/>
      <c r="C55" s="95"/>
      <c r="D55" s="95"/>
      <c r="E55" s="95" t="str">
        <f>'Apresentação Gerencial'!A83</f>
        <v>Outros</v>
      </c>
      <c r="F55" s="95">
        <f>-'Apresentação Gerencial'!J83</f>
        <v>434561.89000833692</v>
      </c>
      <c r="G55" s="95"/>
      <c r="H55" s="95" t="str">
        <f>'Apresentação Gerencial'!A83</f>
        <v>Outros</v>
      </c>
      <c r="I55" s="95">
        <f>'Apresentação Gerencial'!D83</f>
        <v>5</v>
      </c>
      <c r="J55" s="95">
        <f>'Apresentação Gerencial'!F83</f>
        <v>7</v>
      </c>
    </row>
    <row r="56" spans="2:10" outlineLevel="1" x14ac:dyDescent="0.35">
      <c r="B56" s="95"/>
      <c r="C56" s="95"/>
      <c r="D56" s="95"/>
      <c r="E56" s="95"/>
      <c r="F56" s="95"/>
      <c r="G56" s="95"/>
      <c r="H56" s="95"/>
      <c r="I56" s="95"/>
      <c r="J56" s="95"/>
    </row>
    <row r="57" spans="2:10" outlineLevel="1" x14ac:dyDescent="0.35">
      <c r="B57" s="95"/>
      <c r="C57" s="95"/>
      <c r="D57" s="95"/>
      <c r="E57" s="95" t="s">
        <v>262</v>
      </c>
      <c r="F57" s="95"/>
      <c r="G57" s="95"/>
      <c r="H57" s="95"/>
      <c r="I57" s="95"/>
      <c r="J57" s="95"/>
    </row>
    <row r="58" spans="2:10" outlineLevel="1" x14ac:dyDescent="0.35">
      <c r="B58" s="95"/>
      <c r="C58" s="95"/>
      <c r="D58" s="95"/>
      <c r="E58" s="95" t="s">
        <v>263</v>
      </c>
      <c r="F58" s="95">
        <f>'Apresentação Gerencial'!D11</f>
        <v>926</v>
      </c>
      <c r="G58" s="95"/>
      <c r="H58" s="95"/>
      <c r="I58" s="95"/>
      <c r="J58" s="95"/>
    </row>
    <row r="59" spans="2:10" outlineLevel="1" x14ac:dyDescent="0.35">
      <c r="B59" s="95"/>
      <c r="C59" s="95"/>
      <c r="D59" s="95"/>
      <c r="E59" s="95" t="s">
        <v>264</v>
      </c>
      <c r="F59" s="95">
        <f>'Apresentação Gerencial'!D10</f>
        <v>41</v>
      </c>
      <c r="G59" s="95"/>
      <c r="H59" s="95"/>
      <c r="I59" s="95"/>
      <c r="J59" s="95"/>
    </row>
    <row r="60" spans="2:10" outlineLevel="1" x14ac:dyDescent="0.35">
      <c r="B60" s="95"/>
      <c r="C60" s="95"/>
      <c r="D60" s="95"/>
      <c r="E60" s="95" t="s">
        <v>265</v>
      </c>
      <c r="F60" s="95">
        <f>'Apresentação Gerencial'!D9-'Apresentação Gerencial'!D10</f>
        <v>64</v>
      </c>
      <c r="G60" s="95"/>
      <c r="H60" s="95"/>
      <c r="I60" s="95"/>
      <c r="J60" s="95"/>
    </row>
  </sheetData>
  <mergeCells count="12">
    <mergeCell ref="B7:C7"/>
    <mergeCell ref="E7:F7"/>
    <mergeCell ref="H7:I7"/>
    <mergeCell ref="K7:L7"/>
    <mergeCell ref="B6:C6"/>
    <mergeCell ref="E6:F6"/>
    <mergeCell ref="H6:I6"/>
    <mergeCell ref="K6:L6"/>
    <mergeCell ref="B5:C5"/>
    <mergeCell ref="E5:F5"/>
    <mergeCell ref="H5:I5"/>
    <mergeCell ref="K5:L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CD3D-6608-46D5-9947-9BD18E06C9C0}">
  <dimension ref="B2:F19"/>
  <sheetViews>
    <sheetView showGridLines="0" workbookViewId="0">
      <selection activeCell="C127" sqref="C127"/>
    </sheetView>
  </sheetViews>
  <sheetFormatPr defaultRowHeight="14.5" x14ac:dyDescent="0.35"/>
  <cols>
    <col min="1" max="1" width="3.6328125" customWidth="1"/>
    <col min="2" max="2" width="41.81640625" customWidth="1"/>
    <col min="3" max="4" width="23.6328125" customWidth="1"/>
    <col min="5" max="5" width="41.81640625" customWidth="1"/>
  </cols>
  <sheetData>
    <row r="2" spans="2:6" ht="36" customHeight="1" x14ac:dyDescent="0.65">
      <c r="B2" s="98" t="s">
        <v>266</v>
      </c>
      <c r="C2" s="75"/>
      <c r="D2" s="75"/>
      <c r="E2" s="75"/>
    </row>
    <row r="3" spans="2:6" ht="20" customHeight="1" x14ac:dyDescent="0.35">
      <c r="B3" s="99" t="s">
        <v>267</v>
      </c>
      <c r="C3" s="75"/>
      <c r="D3" s="75"/>
      <c r="E3" s="75"/>
    </row>
    <row r="5" spans="2:6" ht="16" x14ac:dyDescent="0.4">
      <c r="B5" s="94" t="s">
        <v>268</v>
      </c>
      <c r="E5" s="109" t="s">
        <v>280</v>
      </c>
    </row>
    <row r="6" spans="2:6" ht="84" customHeight="1" x14ac:dyDescent="0.35">
      <c r="B6" s="117" t="s">
        <v>269</v>
      </c>
      <c r="C6" s="117"/>
      <c r="E6" s="108" t="s">
        <v>282</v>
      </c>
    </row>
    <row r="8" spans="2:6" ht="16" x14ac:dyDescent="0.4">
      <c r="B8" s="94" t="s">
        <v>270</v>
      </c>
      <c r="E8" s="94" t="s">
        <v>281</v>
      </c>
    </row>
    <row r="9" spans="2:6" ht="22" customHeight="1" x14ac:dyDescent="0.35">
      <c r="B9" s="100" t="s">
        <v>271</v>
      </c>
      <c r="C9" s="101" t="s">
        <v>272</v>
      </c>
      <c r="D9" s="100" t="s">
        <v>273</v>
      </c>
      <c r="E9" s="110" t="s">
        <v>283</v>
      </c>
      <c r="F9" s="111">
        <f>'Apresentação Gerencial'!D6</f>
        <v>967</v>
      </c>
    </row>
    <row r="10" spans="2:6" ht="22" customHeight="1" x14ac:dyDescent="0.35">
      <c r="B10" s="102" t="s">
        <v>274</v>
      </c>
      <c r="C10" s="105">
        <f>-'Apresentação Gerencial'!J84</f>
        <v>3442598.7967437799</v>
      </c>
      <c r="D10" s="102" t="s">
        <v>275</v>
      </c>
      <c r="E10" s="102" t="s">
        <v>284</v>
      </c>
      <c r="F10" s="112">
        <f>'Apresentação Gerencial'!D7</f>
        <v>732</v>
      </c>
    </row>
    <row r="11" spans="2:6" ht="22" customHeight="1" x14ac:dyDescent="0.35">
      <c r="B11" s="103" t="s">
        <v>276</v>
      </c>
      <c r="C11" s="106">
        <f>'Apresentação Gerencial'!C100</f>
        <v>8537813.8643999994</v>
      </c>
      <c r="D11" s="103" t="s">
        <v>275</v>
      </c>
      <c r="E11" s="102" t="s">
        <v>285</v>
      </c>
      <c r="F11" s="112">
        <f>'Apresentação Gerencial'!D8</f>
        <v>654</v>
      </c>
    </row>
    <row r="12" spans="2:6" ht="22" customHeight="1" x14ac:dyDescent="0.35">
      <c r="B12" s="102" t="s">
        <v>277</v>
      </c>
      <c r="C12" s="105">
        <f>'Apresentação Gerencial'!C117</f>
        <v>1082000</v>
      </c>
      <c r="D12" s="102" t="s">
        <v>275</v>
      </c>
      <c r="E12" s="102" t="s">
        <v>286</v>
      </c>
      <c r="F12" s="112">
        <f>'Apresentação Gerencial'!D9</f>
        <v>105</v>
      </c>
    </row>
    <row r="13" spans="2:6" ht="22" customHeight="1" x14ac:dyDescent="0.35">
      <c r="B13" s="103" t="s">
        <v>278</v>
      </c>
      <c r="C13" s="106">
        <f>'Apresentação Gerencial'!C125</f>
        <v>526151.91999999969</v>
      </c>
      <c r="D13" s="103" t="s">
        <v>275</v>
      </c>
      <c r="E13" s="113" t="s">
        <v>264</v>
      </c>
      <c r="F13" s="114">
        <f>'Apresentação Gerencial'!D10</f>
        <v>41</v>
      </c>
    </row>
    <row r="14" spans="2:6" ht="22" customHeight="1" x14ac:dyDescent="0.35">
      <c r="B14" s="104" t="s">
        <v>279</v>
      </c>
      <c r="C14" s="107">
        <f>SUM(C10:C13)</f>
        <v>13588564.58114378</v>
      </c>
      <c r="D14" s="104"/>
      <c r="E14" s="115" t="s">
        <v>287</v>
      </c>
      <c r="F14" s="116">
        <f>'Apresentação Gerencial'!D11</f>
        <v>926</v>
      </c>
    </row>
    <row r="16" spans="2:6" ht="16" x14ac:dyDescent="0.4">
      <c r="B16" s="94" t="s">
        <v>288</v>
      </c>
    </row>
    <row r="17" spans="2:5" ht="58" customHeight="1" x14ac:dyDescent="0.35">
      <c r="B17" s="119" t="s">
        <v>289</v>
      </c>
      <c r="C17" s="118"/>
      <c r="D17" s="118"/>
      <c r="E17" s="118"/>
    </row>
    <row r="19" spans="2:5" x14ac:dyDescent="0.35">
      <c r="B19" s="120" t="s">
        <v>290</v>
      </c>
    </row>
  </sheetData>
  <mergeCells count="2">
    <mergeCell ref="B17:E17"/>
    <mergeCell ref="B6:C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268A-23C6-4FCA-A341-B981278C9F86}">
  <dimension ref="B2:Q127"/>
  <sheetViews>
    <sheetView showGridLines="0" workbookViewId="0">
      <selection activeCell="C127" sqref="C127"/>
    </sheetView>
  </sheetViews>
  <sheetFormatPr defaultRowHeight="14.5" outlineLevelRow="1" x14ac:dyDescent="0.35"/>
  <cols>
    <col min="1" max="1" width="4.36328125" customWidth="1"/>
    <col min="2" max="17" width="12.7265625" customWidth="1"/>
    <col min="18" max="18" width="4.36328125" customWidth="1"/>
  </cols>
  <sheetData>
    <row r="2" spans="2:17" x14ac:dyDescent="0.3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2:17" x14ac:dyDescent="0.35"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</row>
    <row r="4" spans="2:17" x14ac:dyDescent="0.35"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</row>
    <row r="5" spans="2:17" x14ac:dyDescent="0.35"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</row>
    <row r="6" spans="2:17" x14ac:dyDescent="0.35"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</row>
    <row r="7" spans="2:17" x14ac:dyDescent="0.35"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</row>
    <row r="8" spans="2:17" x14ac:dyDescent="0.3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</row>
    <row r="9" spans="2:17" ht="56" customHeight="1" x14ac:dyDescent="0.35">
      <c r="B9" s="142" t="s">
        <v>291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</row>
    <row r="10" spans="2:17" x14ac:dyDescent="0.35"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</row>
    <row r="11" spans="2:17" x14ac:dyDescent="0.35"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</row>
    <row r="12" spans="2:17" ht="19.5" x14ac:dyDescent="0.35">
      <c r="B12" s="143" t="s">
        <v>292</v>
      </c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</row>
    <row r="13" spans="2:17" x14ac:dyDescent="0.35"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</row>
    <row r="14" spans="2:17" x14ac:dyDescent="0.3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</row>
    <row r="15" spans="2:17" ht="16" x14ac:dyDescent="0.35">
      <c r="B15" s="144" t="s">
        <v>293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</row>
    <row r="16" spans="2:17" x14ac:dyDescent="0.35"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</row>
    <row r="17" spans="2:17" x14ac:dyDescent="0.35"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</row>
    <row r="18" spans="2:17" x14ac:dyDescent="0.35"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</row>
    <row r="19" spans="2:17" x14ac:dyDescent="0.35"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</row>
    <row r="20" spans="2:17" x14ac:dyDescent="0.35"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</row>
    <row r="22" spans="2:17" ht="34" customHeight="1" x14ac:dyDescent="0.35">
      <c r="B22" s="124" t="s">
        <v>294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35"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</row>
    <row r="24" spans="2:17" x14ac:dyDescent="0.35">
      <c r="B24" s="122"/>
      <c r="C24" s="77"/>
      <c r="D24" s="77"/>
      <c r="E24" s="122"/>
      <c r="F24" s="78"/>
      <c r="G24" s="78"/>
      <c r="H24" s="78"/>
      <c r="I24" s="122"/>
      <c r="J24" s="79"/>
      <c r="K24" s="79"/>
      <c r="L24" s="79"/>
      <c r="M24" s="122"/>
      <c r="N24" s="80"/>
      <c r="O24" s="80"/>
      <c r="P24" s="80"/>
      <c r="Q24" s="122"/>
    </row>
    <row r="25" spans="2:17" ht="42" customHeight="1" x14ac:dyDescent="0.35">
      <c r="B25" s="122"/>
      <c r="C25" s="125">
        <f>'Apresentação Gerencial'!D6</f>
        <v>967</v>
      </c>
      <c r="D25" s="123"/>
      <c r="E25" s="122"/>
      <c r="F25" s="127">
        <f>'Apresentação Gerencial'!D10</f>
        <v>41</v>
      </c>
      <c r="G25" s="128"/>
      <c r="H25" s="128"/>
      <c r="I25" s="122"/>
      <c r="J25" s="130">
        <f>'📑 Resumo Diretoria'!C10</f>
        <v>3442598.7967437799</v>
      </c>
      <c r="K25" s="131"/>
      <c r="L25" s="131"/>
      <c r="M25" s="122"/>
      <c r="N25" s="133">
        <f>'📑 Resumo Diretoria'!C14</f>
        <v>13588564.58114378</v>
      </c>
      <c r="O25" s="134"/>
      <c r="P25" s="134"/>
      <c r="Q25" s="122"/>
    </row>
    <row r="26" spans="2:17" ht="20" customHeight="1" x14ac:dyDescent="0.35">
      <c r="B26" s="122"/>
      <c r="C26" s="126" t="s">
        <v>295</v>
      </c>
      <c r="D26" s="123"/>
      <c r="E26" s="122"/>
      <c r="F26" s="129" t="s">
        <v>296</v>
      </c>
      <c r="G26" s="128"/>
      <c r="H26" s="128"/>
      <c r="I26" s="122"/>
      <c r="J26" s="132" t="s">
        <v>297</v>
      </c>
      <c r="K26" s="131"/>
      <c r="L26" s="131"/>
      <c r="M26" s="122"/>
      <c r="N26" s="135" t="s">
        <v>298</v>
      </c>
      <c r="O26" s="134"/>
      <c r="P26" s="134"/>
      <c r="Q26" s="122"/>
    </row>
    <row r="27" spans="2:17" x14ac:dyDescent="0.35">
      <c r="B27" s="122"/>
      <c r="C27" s="77"/>
      <c r="D27" s="77"/>
      <c r="E27" s="122"/>
      <c r="F27" s="78"/>
      <c r="G27" s="78"/>
      <c r="H27" s="78"/>
      <c r="I27" s="122"/>
      <c r="J27" s="79"/>
      <c r="K27" s="79"/>
      <c r="L27" s="79"/>
      <c r="M27" s="122"/>
      <c r="N27" s="80"/>
      <c r="O27" s="80"/>
      <c r="P27" s="80"/>
      <c r="Q27" s="122"/>
    </row>
    <row r="28" spans="2:17" x14ac:dyDescent="0.35">
      <c r="B28" s="122"/>
      <c r="C28" s="77"/>
      <c r="D28" s="77"/>
      <c r="E28" s="122"/>
      <c r="F28" s="78"/>
      <c r="G28" s="78"/>
      <c r="H28" s="78"/>
      <c r="I28" s="122"/>
      <c r="J28" s="79"/>
      <c r="K28" s="79"/>
      <c r="L28" s="79"/>
      <c r="M28" s="122"/>
      <c r="N28" s="80"/>
      <c r="O28" s="80"/>
      <c r="P28" s="80"/>
      <c r="Q28" s="122"/>
    </row>
    <row r="29" spans="2:17" x14ac:dyDescent="0.35"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</row>
    <row r="30" spans="2:17" x14ac:dyDescent="0.35"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</row>
    <row r="31" spans="2:17" ht="16" x14ac:dyDescent="0.4">
      <c r="B31" s="122"/>
      <c r="C31" s="136" t="s">
        <v>299</v>
      </c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</row>
    <row r="32" spans="2:17" x14ac:dyDescent="0.35"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</row>
    <row r="33" spans="2:17" ht="16" x14ac:dyDescent="0.4">
      <c r="B33" s="122"/>
      <c r="C33" s="136" t="s">
        <v>300</v>
      </c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</row>
    <row r="34" spans="2:17" x14ac:dyDescent="0.35"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</row>
    <row r="35" spans="2:17" ht="16" x14ac:dyDescent="0.4">
      <c r="B35" s="122"/>
      <c r="C35" s="136" t="s">
        <v>301</v>
      </c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</row>
    <row r="36" spans="2:17" x14ac:dyDescent="0.35"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</row>
    <row r="37" spans="2:17" ht="16" x14ac:dyDescent="0.4">
      <c r="B37" s="122"/>
      <c r="C37" s="136" t="s">
        <v>302</v>
      </c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</row>
    <row r="38" spans="2:17" x14ac:dyDescent="0.35"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</row>
    <row r="39" spans="2:17" x14ac:dyDescent="0.35"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</row>
    <row r="40" spans="2:17" x14ac:dyDescent="0.35"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</row>
    <row r="42" spans="2:17" ht="34" customHeight="1" x14ac:dyDescent="0.35">
      <c r="B42" s="124" t="s">
        <v>303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2:17" x14ac:dyDescent="0.35"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</row>
    <row r="44" spans="2:17" x14ac:dyDescent="0.35"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</row>
    <row r="45" spans="2:17" x14ac:dyDescent="0.35"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</row>
    <row r="46" spans="2:17" x14ac:dyDescent="0.35"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</row>
    <row r="47" spans="2:17" x14ac:dyDescent="0.35"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</row>
    <row r="48" spans="2:17" x14ac:dyDescent="0.35"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</row>
    <row r="49" spans="2:17" x14ac:dyDescent="0.35"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</row>
    <row r="50" spans="2:17" x14ac:dyDescent="0.35"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</row>
    <row r="51" spans="2:17" x14ac:dyDescent="0.35"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</row>
    <row r="52" spans="2:17" x14ac:dyDescent="0.35"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</row>
    <row r="53" spans="2:17" x14ac:dyDescent="0.35"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</row>
    <row r="54" spans="2:17" x14ac:dyDescent="0.35"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</row>
    <row r="55" spans="2:17" x14ac:dyDescent="0.35"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</row>
    <row r="56" spans="2:17" x14ac:dyDescent="0.35"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</row>
    <row r="57" spans="2:17" x14ac:dyDescent="0.35"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</row>
    <row r="58" spans="2:17" x14ac:dyDescent="0.35"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</row>
    <row r="59" spans="2:17" x14ac:dyDescent="0.35"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</row>
    <row r="60" spans="2:17" x14ac:dyDescent="0.35"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</row>
    <row r="62" spans="2:17" ht="34" customHeight="1" x14ac:dyDescent="0.35">
      <c r="B62" s="124" t="s">
        <v>304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2:17" x14ac:dyDescent="0.35"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</row>
    <row r="64" spans="2:17" x14ac:dyDescent="0.35"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</row>
    <row r="65" spans="2:17" x14ac:dyDescent="0.35"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</row>
    <row r="66" spans="2:17" x14ac:dyDescent="0.35"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</row>
    <row r="67" spans="2:17" x14ac:dyDescent="0.35"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</row>
    <row r="68" spans="2:17" x14ac:dyDescent="0.35"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</row>
    <row r="69" spans="2:17" x14ac:dyDescent="0.35"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</row>
    <row r="70" spans="2:17" x14ac:dyDescent="0.35"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</row>
    <row r="71" spans="2:17" x14ac:dyDescent="0.35"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</row>
    <row r="72" spans="2:17" x14ac:dyDescent="0.35"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</row>
    <row r="73" spans="2:17" x14ac:dyDescent="0.35"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</row>
    <row r="74" spans="2:17" x14ac:dyDescent="0.35"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</row>
    <row r="75" spans="2:17" x14ac:dyDescent="0.35"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</row>
    <row r="76" spans="2:17" x14ac:dyDescent="0.35"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</row>
    <row r="77" spans="2:17" x14ac:dyDescent="0.35"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</row>
    <row r="78" spans="2:17" x14ac:dyDescent="0.35"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</row>
    <row r="79" spans="2:17" x14ac:dyDescent="0.35"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</row>
    <row r="80" spans="2:17" x14ac:dyDescent="0.35"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</row>
    <row r="82" spans="2:17" ht="34" customHeight="1" x14ac:dyDescent="0.35">
      <c r="B82" s="124" t="s">
        <v>305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2:17" x14ac:dyDescent="0.35"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</row>
    <row r="84" spans="2:17" x14ac:dyDescent="0.35"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</row>
    <row r="85" spans="2:17" x14ac:dyDescent="0.35"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</row>
    <row r="86" spans="2:17" x14ac:dyDescent="0.35"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</row>
    <row r="87" spans="2:17" x14ac:dyDescent="0.35"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</row>
    <row r="88" spans="2:17" x14ac:dyDescent="0.35"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</row>
    <row r="89" spans="2:17" x14ac:dyDescent="0.35"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</row>
    <row r="90" spans="2:17" x14ac:dyDescent="0.35"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</row>
    <row r="91" spans="2:17" x14ac:dyDescent="0.35"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</row>
    <row r="92" spans="2:17" x14ac:dyDescent="0.35"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</row>
    <row r="93" spans="2:17" x14ac:dyDescent="0.35"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</row>
    <row r="94" spans="2:17" x14ac:dyDescent="0.35"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</row>
    <row r="95" spans="2:17" x14ac:dyDescent="0.35"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</row>
    <row r="96" spans="2:17" x14ac:dyDescent="0.35"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</row>
    <row r="97" spans="2:17" x14ac:dyDescent="0.35"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</row>
    <row r="98" spans="2:17" x14ac:dyDescent="0.35"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</row>
    <row r="99" spans="2:17" x14ac:dyDescent="0.35"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</row>
    <row r="100" spans="2:17" x14ac:dyDescent="0.35"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</row>
    <row r="102" spans="2:17" x14ac:dyDescent="0.35"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</row>
    <row r="103" spans="2:17" x14ac:dyDescent="0.35"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</row>
    <row r="104" spans="2:17" x14ac:dyDescent="0.35"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</row>
    <row r="105" spans="2:17" ht="34.5" x14ac:dyDescent="0.8">
      <c r="B105" s="138" t="s">
        <v>315</v>
      </c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</row>
    <row r="106" spans="2:17" x14ac:dyDescent="0.35"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</row>
    <row r="107" spans="2:17" x14ac:dyDescent="0.35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</row>
    <row r="108" spans="2:17" x14ac:dyDescent="0.35"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</row>
    <row r="109" spans="2:17" ht="18.5" x14ac:dyDescent="0.45">
      <c r="B109" s="139" t="s">
        <v>316</v>
      </c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</row>
    <row r="110" spans="2:17" x14ac:dyDescent="0.35"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</row>
    <row r="111" spans="2:17" x14ac:dyDescent="0.35"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</row>
    <row r="112" spans="2:17" ht="28.5" x14ac:dyDescent="0.65">
      <c r="B112" s="140">
        <f>'📑 Resumo Diretoria'!C14</f>
        <v>13588564.58114378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2:17" x14ac:dyDescent="0.35"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</row>
    <row r="114" spans="2:17" x14ac:dyDescent="0.35"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</row>
    <row r="115" spans="2:17" x14ac:dyDescent="0.35"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</row>
    <row r="116" spans="2:17" ht="16" x14ac:dyDescent="0.4">
      <c r="B116" s="121" t="s">
        <v>317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2:17" x14ac:dyDescent="0.35"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</row>
    <row r="118" spans="2:17" x14ac:dyDescent="0.35"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</row>
    <row r="119" spans="2:17" x14ac:dyDescent="0.35"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</row>
    <row r="120" spans="2:17" x14ac:dyDescent="0.35"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</row>
    <row r="123" spans="2:17" outlineLevel="1" x14ac:dyDescent="0.35">
      <c r="C123" s="95" t="s">
        <v>271</v>
      </c>
      <c r="D123" s="95" t="s">
        <v>306</v>
      </c>
      <c r="E123" s="95"/>
      <c r="F123" s="95" t="s">
        <v>311</v>
      </c>
      <c r="G123" s="95" t="s">
        <v>306</v>
      </c>
    </row>
    <row r="124" spans="2:17" outlineLevel="1" x14ac:dyDescent="0.35">
      <c r="C124" s="95" t="s">
        <v>307</v>
      </c>
      <c r="D124" s="95">
        <f>'📑 Resumo Diretoria'!C10</f>
        <v>3442598.7967437799</v>
      </c>
      <c r="E124" s="95"/>
      <c r="F124" s="95" t="s">
        <v>312</v>
      </c>
      <c r="G124" s="95">
        <f>'Apresentação Gerencial'!I100</f>
        <v>20953790.569976319</v>
      </c>
    </row>
    <row r="125" spans="2:17" outlineLevel="1" x14ac:dyDescent="0.35">
      <c r="C125" s="95" t="s">
        <v>308</v>
      </c>
      <c r="D125" s="95">
        <f>'📑 Resumo Diretoria'!C11</f>
        <v>8537813.8643999994</v>
      </c>
      <c r="E125" s="95"/>
      <c r="F125" s="95" t="s">
        <v>313</v>
      </c>
      <c r="G125" s="95">
        <f>'Apresentação Gerencial'!J100</f>
        <v>32203497.930168316</v>
      </c>
    </row>
    <row r="126" spans="2:17" outlineLevel="1" x14ac:dyDescent="0.35">
      <c r="C126" s="95" t="s">
        <v>309</v>
      </c>
      <c r="D126" s="95">
        <f>'📑 Resumo Diretoria'!C12</f>
        <v>1082000</v>
      </c>
      <c r="E126" s="95"/>
      <c r="F126" s="95" t="s">
        <v>314</v>
      </c>
      <c r="G126" s="95">
        <f>'Apresentação Gerencial'!K100</f>
        <v>43453205.290360317</v>
      </c>
    </row>
    <row r="127" spans="2:17" outlineLevel="1" x14ac:dyDescent="0.35">
      <c r="C127" s="95" t="s">
        <v>310</v>
      </c>
      <c r="D127" s="95">
        <f>'📑 Resumo Diretoria'!C13</f>
        <v>526151.91999999969</v>
      </c>
      <c r="E127" s="95"/>
      <c r="F127" s="95"/>
      <c r="G127" s="95"/>
    </row>
  </sheetData>
  <mergeCells count="19">
    <mergeCell ref="B109:Q109"/>
    <mergeCell ref="B112:Q112"/>
    <mergeCell ref="B116:Q116"/>
    <mergeCell ref="N25:P25"/>
    <mergeCell ref="N26:P26"/>
    <mergeCell ref="B42:Q42"/>
    <mergeCell ref="B62:Q62"/>
    <mergeCell ref="B82:Q82"/>
    <mergeCell ref="B105:Q105"/>
    <mergeCell ref="B9:Q9"/>
    <mergeCell ref="B12:Q12"/>
    <mergeCell ref="B15:Q15"/>
    <mergeCell ref="B22:Q22"/>
    <mergeCell ref="C25:D25"/>
    <mergeCell ref="C26:D26"/>
    <mergeCell ref="F25:H25"/>
    <mergeCell ref="F26:H26"/>
    <mergeCell ref="J25:L25"/>
    <mergeCell ref="J26:L2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Apresentação Gerencial</vt:lpstr>
      <vt:lpstr>🎯 Dashboard</vt:lpstr>
      <vt:lpstr>📑 Resumo Diretoria</vt:lpstr>
      <vt:lpstr>🖥️ Deck Slides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elastico</dc:creator>
  <cp:lastModifiedBy>andrei elastico</cp:lastModifiedBy>
  <dcterms:created xsi:type="dcterms:W3CDTF">2026-06-09T11:29:18Z</dcterms:created>
  <dcterms:modified xsi:type="dcterms:W3CDTF">2026-06-09T11:54:06Z</dcterms:modified>
</cp:coreProperties>
</file>