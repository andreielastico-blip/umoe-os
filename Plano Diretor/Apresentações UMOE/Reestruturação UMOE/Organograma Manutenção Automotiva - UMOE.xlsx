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EstaPastaDeTrabalho" defaultThemeVersion="124226"/>
  <mc:AlternateContent xmlns:mc="http://schemas.openxmlformats.org/markup-compatibility/2006">
    <mc:Choice Requires="x15">
      <x15ac:absPath xmlns:x15ac="http://schemas.microsoft.com/office/spreadsheetml/2010/11/ac" url="C:\Users\adriano.bressiano\AppData\Local\Microsoft\Windows\INetCache\Content.Outlook\I19B5VF2\"/>
    </mc:Choice>
  </mc:AlternateContent>
  <xr:revisionPtr revIDLastSave="0" documentId="13_ncr:1_{5FC75766-8389-453D-8A4C-F57A94D5F556}" xr6:coauthVersionLast="47" xr6:coauthVersionMax="47" xr10:uidLastSave="{00000000-0000-0000-0000-000000000000}"/>
  <bookViews>
    <workbookView xWindow="28680" yWindow="-120" windowWidth="29040" windowHeight="15720" tabRatio="827" xr2:uid="{00000000-000D-0000-FFFF-FFFF00000000}"/>
  </bookViews>
  <sheets>
    <sheet name="Estrutura OFICINA" sheetId="6" r:id="rId1"/>
    <sheet name="Estrutura OFICINA - REDUÇÃO" sheetId="8"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7" i="8" l="1"/>
  <c r="D47" i="8"/>
  <c r="C47" i="8"/>
  <c r="B47" i="8"/>
  <c r="BM18" i="8"/>
  <c r="BI18" i="8"/>
  <c r="BF18" i="8"/>
  <c r="BC18" i="8"/>
  <c r="AZ18" i="8"/>
  <c r="AW18" i="8"/>
  <c r="AT18" i="8"/>
  <c r="AN18" i="8"/>
  <c r="AK18" i="8"/>
  <c r="AH18" i="8"/>
  <c r="AE18" i="8"/>
  <c r="AB18" i="8"/>
  <c r="Y18" i="8"/>
  <c r="V18" i="8"/>
  <c r="S18" i="8"/>
  <c r="P18" i="8"/>
  <c r="M18" i="8"/>
  <c r="J18" i="8"/>
  <c r="G18" i="8"/>
  <c r="B18" i="8"/>
  <c r="BL13" i="8"/>
  <c r="BC13" i="8"/>
  <c r="AT13" i="8"/>
  <c r="AE13" i="8"/>
  <c r="Y13" i="8"/>
  <c r="P13" i="8"/>
  <c r="G13" i="8"/>
  <c r="B13" i="8"/>
  <c r="Y9" i="8"/>
  <c r="D47" i="6"/>
  <c r="B47" i="6"/>
  <c r="BL18" i="6"/>
  <c r="BI18" i="6"/>
  <c r="BF18" i="6"/>
  <c r="BC18" i="6"/>
  <c r="AH18" i="6"/>
  <c r="AE18" i="6"/>
  <c r="V18" i="6"/>
  <c r="S18" i="6"/>
  <c r="P18" i="6"/>
  <c r="AB18" i="6"/>
  <c r="Y18" i="6"/>
  <c r="J18" i="6"/>
  <c r="AK18" i="6"/>
  <c r="BA19" i="6"/>
  <c r="G9" i="8" l="1"/>
  <c r="AK13" i="8"/>
  <c r="AK9" i="8" s="1"/>
  <c r="BC9" i="8"/>
  <c r="BC13" i="6"/>
  <c r="AE13" i="6"/>
  <c r="Y13" i="6"/>
  <c r="P13" i="6"/>
  <c r="BM18" i="6"/>
  <c r="AC4" i="8" l="1"/>
  <c r="Y9" i="6"/>
  <c r="BL13" i="6"/>
  <c r="BC9" i="6" s="1"/>
  <c r="AT18" i="6"/>
  <c r="AN18" i="6"/>
  <c r="AK13" i="6" s="1"/>
  <c r="AZ18" i="6"/>
  <c r="AW18" i="6"/>
  <c r="AT13" i="6" l="1"/>
  <c r="AK9" i="6" s="1"/>
  <c r="M18" i="6"/>
  <c r="G18" i="6"/>
  <c r="B18" i="6"/>
  <c r="B13" i="6" s="1"/>
  <c r="G13" i="6" l="1"/>
  <c r="G9" i="6" s="1"/>
  <c r="AC4" i="6" s="1"/>
  <c r="E47" i="6"/>
  <c r="C47" i="6"/>
</calcChain>
</file>

<file path=xl/sharedStrings.xml><?xml version="1.0" encoding="utf-8"?>
<sst xmlns="http://schemas.openxmlformats.org/spreadsheetml/2006/main" count="390" uniqueCount="114">
  <si>
    <t>PCM</t>
  </si>
  <si>
    <t>CENTRAL 2201</t>
  </si>
  <si>
    <t>TURNO "A"</t>
  </si>
  <si>
    <t>TURNO "B"</t>
  </si>
  <si>
    <t>TURNO "C"</t>
  </si>
  <si>
    <t>F2</t>
  </si>
  <si>
    <t>F3</t>
  </si>
  <si>
    <t>02 - MEC
01 - ELETRIC</t>
  </si>
  <si>
    <t>02 - MEC</t>
  </si>
  <si>
    <t>F1</t>
  </si>
  <si>
    <t>F4</t>
  </si>
  <si>
    <t>01 - ASSIST</t>
  </si>
  <si>
    <t>BORRACHARIA</t>
  </si>
  <si>
    <t>TRATOS</t>
  </si>
  <si>
    <t>PREVENTIVA CCT</t>
  </si>
  <si>
    <t>COMBOIOS</t>
  </si>
  <si>
    <t xml:space="preserve">02 - MEC
</t>
  </si>
  <si>
    <t>01 - MEC</t>
  </si>
  <si>
    <t>02 - MEC
01 - ELETR</t>
  </si>
  <si>
    <t>01 - ELETR</t>
  </si>
  <si>
    <t>02 - M.BORRAC</t>
  </si>
  <si>
    <t>01 - BORRACH
02 - M.BORRAC
01 - FOLGUIST</t>
  </si>
  <si>
    <t xml:space="preserve">01 - MEC
</t>
  </si>
  <si>
    <t xml:space="preserve">01 - ASSIST.
</t>
  </si>
  <si>
    <t>01 - ASSIST
01 - FOLG</t>
  </si>
  <si>
    <t>FROTAS</t>
  </si>
  <si>
    <t>COLHEDORAS</t>
  </si>
  <si>
    <t>TRATORES</t>
  </si>
  <si>
    <t>PIPA</t>
  </si>
  <si>
    <t>TRANSBORDOS</t>
  </si>
  <si>
    <t>AREA DE VIVENCIA</t>
  </si>
  <si>
    <t>FROTAS RESERVAS</t>
  </si>
  <si>
    <r>
      <rPr>
        <b/>
        <u/>
        <sz val="11"/>
        <color rgb="FFFF0000"/>
        <rFont val="Calibri"/>
        <family val="2"/>
        <scheme val="minor"/>
      </rPr>
      <t>8</t>
    </r>
    <r>
      <rPr>
        <sz val="11"/>
        <color theme="1"/>
        <rFont val="Calibri"/>
        <family val="2"/>
        <scheme val="minor"/>
      </rPr>
      <t xml:space="preserve">
1
1
1
5</t>
    </r>
  </si>
  <si>
    <r>
      <rPr>
        <b/>
        <u/>
        <sz val="11"/>
        <color rgb="FFFF0000"/>
        <rFont val="Calibri"/>
        <family val="2"/>
        <scheme val="minor"/>
      </rPr>
      <t>COMPOSTAG.</t>
    </r>
    <r>
      <rPr>
        <sz val="11"/>
        <color theme="1"/>
        <rFont val="Calibri"/>
        <family val="2"/>
        <scheme val="minor"/>
      </rPr>
      <t xml:space="preserve">
</t>
    </r>
    <r>
      <rPr>
        <sz val="11"/>
        <color theme="1" tint="0.34998626667073579"/>
        <rFont val="Calibri"/>
        <family val="2"/>
        <scheme val="minor"/>
      </rPr>
      <t xml:space="preserve">CARREG. CANA
TRAT. MEDIO
COMPOSTAD.
CARRETA TORTA
</t>
    </r>
    <r>
      <rPr>
        <sz val="11"/>
        <color theme="1"/>
        <rFont val="Calibri"/>
        <family val="2"/>
        <scheme val="minor"/>
      </rPr>
      <t xml:space="preserve">
</t>
    </r>
  </si>
  <si>
    <t>* 01 - TRATOR ACERADOR + IMPLEMENTO</t>
  </si>
  <si>
    <t>* 01 - CAMINHÃO COMBOIO</t>
  </si>
  <si>
    <t>PREPARO</t>
  </si>
  <si>
    <t>02-MEC</t>
  </si>
  <si>
    <r>
      <t xml:space="preserve">02 - MEC
</t>
    </r>
    <r>
      <rPr>
        <sz val="11"/>
        <color theme="1"/>
        <rFont val="Calibri"/>
        <family val="2"/>
        <scheme val="minor"/>
      </rPr>
      <t>01 - ELETR</t>
    </r>
  </si>
  <si>
    <t>01 - MEC
01 - ELETR</t>
  </si>
  <si>
    <t>MANUT. LINEAR</t>
  </si>
  <si>
    <t>MANUT. LINEAR CM</t>
  </si>
  <si>
    <t xml:space="preserve">05 - MEC
01 - ELETRIC
</t>
  </si>
  <si>
    <t>LIDER TURNO B</t>
  </si>
  <si>
    <t>MANUT. LINEAR TRAT</t>
  </si>
  <si>
    <t xml:space="preserve">02 - MEC TRAT
</t>
  </si>
  <si>
    <t>05 - COMB
01 - FOLGUIST</t>
  </si>
  <si>
    <t xml:space="preserve">05 - COMB
</t>
  </si>
  <si>
    <t>03 - LAVADOR
02 - LUBRIF</t>
  </si>
  <si>
    <r>
      <rPr>
        <b/>
        <u/>
        <sz val="11"/>
        <color rgb="FFFF0000"/>
        <rFont val="Calibri"/>
        <family val="2"/>
        <scheme val="minor"/>
      </rPr>
      <t>PLANTIO</t>
    </r>
    <r>
      <rPr>
        <sz val="11"/>
        <color theme="1" tint="0.34998626667073579"/>
        <rFont val="Calibri"/>
        <family val="2"/>
        <scheme val="minor"/>
      </rPr>
      <t xml:space="preserve">
TRAT. PESADOS
SULCADORES
TRAT. LEVES
COBRIDORES
CARREGADEIRAS
CAM. MUNCK
CAM. PIPA
AREA DE VIVENCIA
TQS. CALDA PRONTA</t>
    </r>
  </si>
  <si>
    <r>
      <rPr>
        <b/>
        <u/>
        <sz val="11"/>
        <color rgb="FFFF0000"/>
        <rFont val="Calibri"/>
        <family val="2"/>
        <scheme val="minor"/>
      </rPr>
      <t>PREPARO</t>
    </r>
    <r>
      <rPr>
        <sz val="11"/>
        <color theme="1"/>
        <rFont val="Calibri"/>
        <family val="2"/>
        <scheme val="minor"/>
      </rPr>
      <t xml:space="preserve">
</t>
    </r>
    <r>
      <rPr>
        <sz val="11"/>
        <color theme="1" tint="0.34998626667073579"/>
        <rFont val="Calibri"/>
        <family val="2"/>
        <scheme val="minor"/>
      </rPr>
      <t>TRAT. PESADOS
GRADES
ARADOS
SUBSOLADORES
ELIMINADOR SOQ.
CAM. MUNCK
CAM. PIPA
TQ. FIBRA
AREA VIVENCIA
QUADRICICLO</t>
    </r>
  </si>
  <si>
    <r>
      <rPr>
        <b/>
        <u/>
        <sz val="11"/>
        <color rgb="FFFF0000"/>
        <rFont val="Calibri"/>
        <family val="2"/>
        <scheme val="minor"/>
      </rPr>
      <t>TOTAL</t>
    </r>
    <r>
      <rPr>
        <sz val="11"/>
        <color theme="1"/>
        <rFont val="Calibri"/>
        <family val="2"/>
        <scheme val="minor"/>
      </rPr>
      <t xml:space="preserve">
</t>
    </r>
    <r>
      <rPr>
        <sz val="11"/>
        <color theme="1" tint="0.34998626667073579"/>
        <rFont val="Calibri"/>
        <family val="2"/>
        <scheme val="minor"/>
      </rPr>
      <t>UNIPORT
HERBIPLUS
TRAT. PESADO
IMPLTO Q. LOMBO
IMPLTO ADUBADOR
TRAT. MEDIO
IMPLTO CORTE SOQ.
TRAT. MEDIO
IMPLTO CARREADOR
TRAT. PEQUENO
TQ. KOLUMBIA
TQ. CALDA PRONTA
CAM. CALDA PRONTA
CAM. TROPICAL
CAM. MUNCK
AREA VIVENCIA</t>
    </r>
  </si>
  <si>
    <t>F1/F2/ F3/F4</t>
  </si>
  <si>
    <t>EDVAL
CAIO
JORGE</t>
  </si>
  <si>
    <t>PAULO SERGIO 
( MANUTENÇÃO CAMPO CCT/PREPARO/PLANTIO)</t>
  </si>
  <si>
    <t>02 - ELETRICISTA</t>
  </si>
  <si>
    <t>PLANTIO MANUAL
F1/F2</t>
  </si>
  <si>
    <t>PLANTIO MEC.
MUDA/PLANTIO</t>
  </si>
  <si>
    <t>01 - MEC MUDA
01 - MEC PLANTIO
01 - ELETR
01 - ELETR FOLG.</t>
  </si>
  <si>
    <t>01 - MEC MUDA</t>
  </si>
  <si>
    <t>01 - MEC PLANTIO</t>
  </si>
  <si>
    <t>01 - MEC MUDA
01 - MEC PLANTIO
01 - MEC. FOL MUDA
01 - ELETR</t>
  </si>
  <si>
    <t>01 - MEC. FOL PL.
01 - ELETR</t>
  </si>
  <si>
    <t>CARLOS DIAS</t>
  </si>
  <si>
    <t xml:space="preserve">03 - MEC
</t>
  </si>
  <si>
    <t>AGREGADOS INTERNA</t>
  </si>
  <si>
    <t xml:space="preserve">04 - MEC
</t>
  </si>
  <si>
    <t>ADUBAÇÃO</t>
  </si>
  <si>
    <t>01 - MEC
01 - MEC FOLG.
01 - ELETR</t>
  </si>
  <si>
    <t>ROGERIO LOPES
JAIR DIAS
ADELIO</t>
  </si>
  <si>
    <t xml:space="preserve">01 - MEC
</t>
  </si>
  <si>
    <t>RICARDO</t>
  </si>
  <si>
    <t>FERTIRRIGAÇÃO INT.
ÁREA VIV./TRANSB.</t>
  </si>
  <si>
    <t>FERTIRRIGAÇÃO
IRRIGAÇÃO</t>
  </si>
  <si>
    <t xml:space="preserve">04 - MEC CALD.
02 - MEC. ÁREA
02 - MEC.
</t>
  </si>
  <si>
    <t xml:space="preserve">01 - MEC. FERTI
01 - MEC. IRRIG.
</t>
  </si>
  <si>
    <t>ADRIANO PASTRE
GERÊNCIA MANUTENÇÃO AUTOTMOTIVA</t>
  </si>
  <si>
    <t>ADRIANO RODRIGUES</t>
  </si>
  <si>
    <t>HUGO LEONARDO
( MANUTENÇÃO INTERNA )</t>
  </si>
  <si>
    <t>CAMINHÕES</t>
  </si>
  <si>
    <t>LEANDRO
( TURNO B )</t>
  </si>
  <si>
    <t>GERALDO CABRAL</t>
  </si>
  <si>
    <t>07 - MEC TRAT
01 - ELETRIC
03 - MEC IMPLTOS</t>
  </si>
  <si>
    <t>CALDEIRARIA /SALA HIDR./SALA ELÉTRICA</t>
  </si>
  <si>
    <t>02 - CALDEREIROS
01 -ELETRIC BANCADA
04 - AUXILIAR HIDR.
03 - MEC. HIDR.
02 - TORNEIRO</t>
  </si>
  <si>
    <t>MATEUS DANIEL</t>
  </si>
  <si>
    <t>RAMPA/LAVADOR</t>
  </si>
  <si>
    <t>01 - LAVADOR
02 - LUBRIF</t>
  </si>
  <si>
    <t>ADRIANO BRESSIANO
( PCM/ENGEHNARIA/PRIMÁRIA/BORRACHARIA)</t>
  </si>
  <si>
    <r>
      <rPr>
        <b/>
        <sz val="11"/>
        <color theme="1"/>
        <rFont val="Calibri"/>
        <family val="2"/>
        <scheme val="minor"/>
      </rPr>
      <t xml:space="preserve">
ADM</t>
    </r>
    <r>
      <rPr>
        <sz val="11"/>
        <color theme="1"/>
        <rFont val="Calibri"/>
        <family val="2"/>
        <scheme val="minor"/>
      </rPr>
      <t xml:space="preserve">
06 - ANALISTA
03 - ASSIST
01 - ENG/LÍDER PRIMÁRIA
01 - TRAINEE ENG.
04 - MOTORISTA CAMPO
01 - MOTORISTA INTERNA
02 - PEDREIRO
01 - PREDITIVA
03 - MEC V.LEVES
01 - CHECK LIST</t>
    </r>
  </si>
  <si>
    <t>LUIZ AFFONSO JR
( MANUTENÇÃO CAMPO TRATOS/FERTIRRIGAÇÃO/IRRIGAÇÃO)</t>
  </si>
  <si>
    <t>ORGANOGRAMA MANUTENÇÃO AUTOMOTIVA - UMOE</t>
  </si>
  <si>
    <t>* 01 - COLHEDORAS PREVENTIVAS</t>
  </si>
  <si>
    <t>* 01 - COLHEDORAS LINEAR</t>
  </si>
  <si>
    <t>* 14 - TRANSBORDOS RESERVAS</t>
  </si>
  <si>
    <t>* 03 - TRATORES RESERVAS CCT</t>
  </si>
  <si>
    <r>
      <rPr>
        <b/>
        <u/>
        <sz val="11"/>
        <color rgb="FFFF0000"/>
        <rFont val="Calibri"/>
        <family val="2"/>
        <scheme val="minor"/>
      </rPr>
      <t>PLANTIO MEC.</t>
    </r>
    <r>
      <rPr>
        <sz val="11"/>
        <color theme="1" tint="0.34998626667073579"/>
        <rFont val="Calibri"/>
        <family val="2"/>
        <scheme val="minor"/>
      </rPr>
      <t xml:space="preserve">
TRAT. PESADOS
IMPL. PLANTADORA
CM TRANSBORDO
IMPL. TRANSBORDO
COLHEDORAS
CAM. MUNCK
CAM. PIPA
AREA DE VIVENCIA
</t>
    </r>
  </si>
  <si>
    <r>
      <rPr>
        <b/>
        <u/>
        <sz val="11"/>
        <color rgb="FFFF0000"/>
        <rFont val="Calibri"/>
        <family val="2"/>
        <scheme val="minor"/>
      </rPr>
      <t>24</t>
    </r>
    <r>
      <rPr>
        <sz val="11"/>
        <color theme="1"/>
        <rFont val="Calibri"/>
        <family val="2"/>
        <scheme val="minor"/>
      </rPr>
      <t xml:space="preserve">
3
3
6
6
2
1
1
2
</t>
    </r>
  </si>
  <si>
    <r>
      <rPr>
        <b/>
        <u/>
        <sz val="11"/>
        <color rgb="FFFF0000"/>
        <rFont val="Calibri"/>
        <family val="2"/>
        <scheme val="minor"/>
      </rPr>
      <t>41</t>
    </r>
    <r>
      <rPr>
        <sz val="11"/>
        <color theme="1"/>
        <rFont val="Calibri"/>
        <family val="2"/>
        <scheme val="minor"/>
      </rPr>
      <t xml:space="preserve">
8
8
6
6
5
2
1
3
2</t>
    </r>
  </si>
  <si>
    <r>
      <rPr>
        <b/>
        <u/>
        <sz val="11"/>
        <color rgb="FFFF0000"/>
        <rFont val="Calibri"/>
        <family val="2"/>
        <scheme val="minor"/>
      </rPr>
      <t>32</t>
    </r>
    <r>
      <rPr>
        <sz val="11"/>
        <color theme="1"/>
        <rFont val="Calibri"/>
        <family val="2"/>
        <scheme val="minor"/>
      </rPr>
      <t xml:space="preserve">
8
8
4
4
2
1
1
1
2
1</t>
    </r>
  </si>
  <si>
    <r>
      <rPr>
        <b/>
        <u/>
        <sz val="11"/>
        <color rgb="FFFF0000"/>
        <rFont val="Calibri"/>
        <family val="2"/>
        <scheme val="minor"/>
      </rPr>
      <t>59</t>
    </r>
    <r>
      <rPr>
        <sz val="11"/>
        <color theme="1"/>
        <rFont val="Calibri"/>
        <family val="2"/>
        <scheme val="minor"/>
      </rPr>
      <t xml:space="preserve">
2
4
5
5
2
5
5
2
2
1
2
5
6
2
2
9</t>
    </r>
  </si>
  <si>
    <r>
      <rPr>
        <b/>
        <u/>
        <sz val="11"/>
        <color rgb="FFFF0000"/>
        <rFont val="Calibri"/>
        <family val="2"/>
        <scheme val="minor"/>
      </rPr>
      <t>FERTIRRIG.</t>
    </r>
    <r>
      <rPr>
        <sz val="11"/>
        <color theme="1"/>
        <rFont val="Calibri"/>
        <family val="2"/>
        <scheme val="minor"/>
      </rPr>
      <t xml:space="preserve">
</t>
    </r>
    <r>
      <rPr>
        <sz val="11"/>
        <color theme="1" tint="0.34998626667073579"/>
        <rFont val="Calibri"/>
        <family val="2"/>
        <scheme val="minor"/>
      </rPr>
      <t xml:space="preserve">MOTOBOMBA
HIDROROLL
TRATOR PES.
TRAT. MEDIO
CAM. TUBOS
CARRETA TUBO
AREA VIVENCIA
</t>
    </r>
    <r>
      <rPr>
        <b/>
        <u/>
        <sz val="11"/>
        <color rgb="FFFF0000"/>
        <rFont val="Calibri"/>
        <family val="2"/>
        <scheme val="minor"/>
      </rPr>
      <t xml:space="preserve">IRRIGAÇÃO
</t>
    </r>
    <r>
      <rPr>
        <sz val="11"/>
        <color theme="1" tint="0.34998626667073579"/>
        <rFont val="Calibri"/>
        <family val="2"/>
        <scheme val="minor"/>
      </rPr>
      <t>MOTOBOMBA
HIDROROLL
TRAT. MEDIO
AREA VIVENCIA</t>
    </r>
  </si>
  <si>
    <r>
      <rPr>
        <b/>
        <u/>
        <sz val="11"/>
        <color rgb="FFFF0000"/>
        <rFont val="Calibri"/>
        <family val="2"/>
        <scheme val="minor"/>
      </rPr>
      <t>39</t>
    </r>
    <r>
      <rPr>
        <sz val="11"/>
        <color theme="1"/>
        <rFont val="Calibri"/>
        <family val="2"/>
        <scheme val="minor"/>
      </rPr>
      <t xml:space="preserve">
9
14
1
4
2
7
3</t>
    </r>
  </si>
  <si>
    <r>
      <rPr>
        <b/>
        <u/>
        <sz val="11"/>
        <color rgb="FFFF0000"/>
        <rFont val="Calibri"/>
        <family val="2"/>
        <scheme val="minor"/>
      </rPr>
      <t>19</t>
    </r>
    <r>
      <rPr>
        <sz val="11"/>
        <color theme="1"/>
        <rFont val="Calibri"/>
        <family val="2"/>
        <scheme val="minor"/>
      </rPr>
      <t xml:space="preserve">
4
9
4
2</t>
    </r>
  </si>
  <si>
    <t>* 01 - TRATOR ADUBAÇÃO + IMPLEMENTO</t>
  </si>
  <si>
    <t>* 01 - TRATOR ROLO + IMPLEMENTO</t>
  </si>
  <si>
    <t>04 - COMB
01 - FOLGUIST</t>
  </si>
  <si>
    <t xml:space="preserve">04 - COMB
</t>
  </si>
  <si>
    <t>02 - LAVADOR
02 - LUBRIF</t>
  </si>
  <si>
    <r>
      <rPr>
        <b/>
        <sz val="11"/>
        <color theme="1"/>
        <rFont val="Calibri"/>
        <family val="2"/>
        <scheme val="minor"/>
      </rPr>
      <t xml:space="preserve">
ADM</t>
    </r>
    <r>
      <rPr>
        <sz val="11"/>
        <color theme="1"/>
        <rFont val="Calibri"/>
        <family val="2"/>
        <scheme val="minor"/>
      </rPr>
      <t xml:space="preserve">
06 - ANALISTA
02 - ASSIST
01 - ENG/LÍDER PRIMÁRIA
03 - MOTORISTA CAMPO
01 - MOTORISTA INTERNA
01 - PEDREIRO
01 - PREDITIVA
03 - MEC V.LEVES
01 - CHECK LIST</t>
    </r>
  </si>
  <si>
    <t xml:space="preserve">01 - ASSIST
</t>
  </si>
  <si>
    <t xml:space="preserve">03 - MEC CALD.
02 - MEC. ÁREA
02 - MEC.
</t>
  </si>
  <si>
    <t xml:space="preserve">04 - MEC
01 - ELETRIC
</t>
  </si>
  <si>
    <t>02 - CALDEREIROS
01 -ELETRIC BANCADA
03 - AUXILIAR HIDR.
01 - MEC. HIDR.
02 - TORNEIRO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</si>
</sst>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sz val="10"/>
      <color theme="1"/>
      <name val="Calibri"/>
      <family val="2"/>
      <scheme val="minor"/>
    </font>
    <font>
      <b/>
      <sz val="12"/>
      <color rgb="FFFF0000"/>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sz val="16"/>
      <color theme="1"/>
      <name val="Calibri"/>
      <family val="2"/>
      <scheme val="minor"/>
    </font>
    <font>
      <b/>
      <sz val="14"/>
      <color rgb="FFFF0000"/>
      <name val="Calibri"/>
      <family val="2"/>
      <scheme val="minor"/>
    </font>
    <font>
      <sz val="11.5"/>
      <color theme="1"/>
      <name val="Calibri"/>
      <family val="2"/>
      <scheme val="minor"/>
    </font>
    <font>
      <b/>
      <sz val="18"/>
      <color theme="1"/>
      <name val="Calibri"/>
      <family val="2"/>
      <scheme val="minor"/>
    </font>
    <font>
      <b/>
      <sz val="28"/>
      <color theme="1"/>
      <name val="Calibri"/>
      <family val="2"/>
      <scheme val="minor"/>
    </font>
    <font>
      <sz val="11"/>
      <color theme="1"/>
      <name val="Calibri"/>
      <family val="2"/>
      <scheme val="minor"/>
    </font>
    <font>
      <sz val="11"/>
      <color theme="0"/>
      <name val="Calibri"/>
      <family val="2"/>
      <scheme val="minor"/>
    </font>
    <font>
      <b/>
      <sz val="18"/>
      <color rgb="FFFF0000"/>
      <name val="Calibri"/>
      <family val="2"/>
      <scheme val="minor"/>
    </font>
    <font>
      <sz val="11"/>
      <color rgb="FFFF0000"/>
      <name val="Calibri"/>
      <family val="2"/>
      <scheme val="minor"/>
    </font>
    <font>
      <b/>
      <sz val="12"/>
      <name val="Calibri"/>
      <family val="2"/>
      <scheme val="minor"/>
    </font>
    <font>
      <sz val="11"/>
      <name val="Calibri"/>
      <family val="2"/>
      <scheme val="minor"/>
    </font>
    <font>
      <b/>
      <sz val="24"/>
      <color rgb="FFFF0000"/>
      <name val="Calibri"/>
      <family val="2"/>
      <scheme val="minor"/>
    </font>
    <font>
      <sz val="12"/>
      <color theme="1"/>
      <name val="Calibri"/>
      <family val="2"/>
      <scheme val="minor"/>
    </font>
    <font>
      <sz val="14"/>
      <color theme="1"/>
      <name val="Calibri"/>
      <family val="2"/>
      <scheme val="minor"/>
    </font>
    <font>
      <b/>
      <sz val="12"/>
      <color theme="1" tint="0.499984740745262"/>
      <name val="Calibri"/>
      <family val="2"/>
      <scheme val="minor"/>
    </font>
    <font>
      <b/>
      <sz val="14"/>
      <color rgb="FF00B050"/>
      <name val="Calibri"/>
      <family val="2"/>
      <scheme val="minor"/>
    </font>
    <font>
      <sz val="11"/>
      <color rgb="FF00B050"/>
      <name val="Calibri"/>
      <family val="2"/>
      <scheme val="minor"/>
    </font>
    <font>
      <b/>
      <u/>
      <sz val="11"/>
      <color rgb="FFFF0000"/>
      <name val="Calibri"/>
      <family val="2"/>
      <scheme val="minor"/>
    </font>
    <font>
      <sz val="11"/>
      <color theme="1" tint="0.34998626667073579"/>
      <name val="Calibri"/>
      <family val="2"/>
      <scheme val="minor"/>
    </font>
    <font>
      <sz val="26"/>
      <color theme="0"/>
      <name val="Calibri"/>
      <family val="2"/>
      <scheme val="minor"/>
    </font>
    <font>
      <sz val="15"/>
      <color theme="0"/>
      <name val="Calibri"/>
      <family val="2"/>
      <scheme val="minor"/>
    </font>
    <font>
      <b/>
      <sz val="18"/>
      <color theme="0"/>
      <name val="Calibri"/>
      <family val="2"/>
      <scheme val="minor"/>
    </font>
    <font>
      <b/>
      <sz val="26"/>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theme="0" tint="-4.9989318521683403E-2"/>
        <bgColor indexed="64"/>
      </patternFill>
    </fill>
    <fill>
      <patternFill patternType="solid">
        <fgColor theme="4" tint="0.79998168889431442"/>
        <bgColor indexed="64"/>
      </patternFill>
    </fill>
  </fills>
  <borders count="7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indexed="64"/>
      </left>
      <right/>
      <top/>
      <bottom style="medium">
        <color indexed="64"/>
      </bottom>
      <diagonal/>
    </border>
    <border>
      <left/>
      <right/>
      <top/>
      <bottom style="thin">
        <color indexed="64"/>
      </bottom>
      <diagonal/>
    </border>
    <border>
      <left style="thin">
        <color indexed="64"/>
      </left>
      <right/>
      <top style="medium">
        <color indexed="64"/>
      </top>
      <bottom style="thin">
        <color indexed="64"/>
      </bottom>
      <diagonal/>
    </border>
    <border>
      <left/>
      <right style="medium">
        <color indexed="64"/>
      </right>
      <top/>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diagonal/>
    </border>
    <border>
      <left style="medium">
        <color indexed="64"/>
      </left>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medium">
        <color indexed="64"/>
      </left>
      <right/>
      <top style="medium">
        <color indexed="64"/>
      </top>
      <bottom style="thin">
        <color theme="0" tint="-0.14996795556505021"/>
      </bottom>
      <diagonal/>
    </border>
    <border>
      <left/>
      <right style="medium">
        <color indexed="64"/>
      </right>
      <top style="medium">
        <color indexed="64"/>
      </top>
      <bottom style="thin">
        <color theme="0" tint="-0.14996795556505021"/>
      </bottom>
      <diagonal/>
    </border>
    <border>
      <left style="medium">
        <color indexed="64"/>
      </left>
      <right/>
      <top style="thin">
        <color theme="0" tint="-0.14996795556505021"/>
      </top>
      <bottom style="thin">
        <color theme="0" tint="-0.14996795556505021"/>
      </bottom>
      <diagonal/>
    </border>
    <border>
      <left/>
      <right style="medium">
        <color indexed="64"/>
      </right>
      <top style="thin">
        <color theme="0" tint="-0.14996795556505021"/>
      </top>
      <bottom style="thin">
        <color theme="0" tint="-0.14996795556505021"/>
      </bottom>
      <diagonal/>
    </border>
    <border>
      <left style="dashed">
        <color theme="0" tint="-0.24994659260841701"/>
      </left>
      <right style="medium">
        <color indexed="64"/>
      </right>
      <top style="thin">
        <color theme="0" tint="-0.14996795556505021"/>
      </top>
      <bottom/>
      <diagonal/>
    </border>
    <border>
      <left style="dashed">
        <color theme="0" tint="-0.24994659260841701"/>
      </left>
      <right style="medium">
        <color indexed="64"/>
      </right>
      <top/>
      <bottom/>
      <diagonal/>
    </border>
    <border>
      <left style="dotted">
        <color theme="0" tint="-0.24994659260841701"/>
      </left>
      <right/>
      <top style="medium">
        <color indexed="64"/>
      </top>
      <bottom style="thin">
        <color theme="0" tint="-0.14996795556505021"/>
      </bottom>
      <diagonal/>
    </border>
    <border>
      <left style="dotted">
        <color theme="0" tint="-0.24994659260841701"/>
      </left>
      <right/>
      <top/>
      <bottom/>
      <diagonal/>
    </border>
    <border>
      <left style="dotted">
        <color theme="0" tint="-0.24994659260841701"/>
      </left>
      <right/>
      <top style="thin">
        <color theme="0" tint="-0.14996795556505021"/>
      </top>
      <bottom style="thin">
        <color theme="0" tint="-0.14996795556505021"/>
      </bottom>
      <diagonal/>
    </border>
    <border>
      <left style="dotted">
        <color theme="0" tint="-0.24994659260841701"/>
      </left>
      <right/>
      <top/>
      <bottom style="medium">
        <color indexed="64"/>
      </bottom>
      <diagonal/>
    </border>
    <border>
      <left/>
      <right/>
      <top style="medium">
        <color indexed="64"/>
      </top>
      <bottom style="thin">
        <color theme="0" tint="-0.14996795556505021"/>
      </bottom>
      <diagonal/>
    </border>
    <border>
      <left/>
      <right/>
      <top style="thin">
        <color theme="0" tint="-0.14996795556505021"/>
      </top>
      <bottom style="thin">
        <color theme="0" tint="-0.14996795556505021"/>
      </bottom>
      <diagonal/>
    </border>
    <border>
      <left style="dotted">
        <color theme="0" tint="-0.14993743705557422"/>
      </left>
      <right style="dashed">
        <color theme="0" tint="-0.24994659260841701"/>
      </right>
      <top style="thin">
        <color theme="0" tint="-0.14996795556505021"/>
      </top>
      <bottom/>
      <diagonal/>
    </border>
    <border>
      <left style="dotted">
        <color theme="0" tint="-0.14993743705557422"/>
      </left>
      <right style="dashed">
        <color theme="0" tint="-0.24994659260841701"/>
      </right>
      <top/>
      <bottom/>
      <diagonal/>
    </border>
    <border>
      <left/>
      <right style="medium">
        <color indexed="64"/>
      </right>
      <top style="thin">
        <color theme="0" tint="-0.14996795556505021"/>
      </top>
      <bottom/>
      <diagonal/>
    </border>
    <border>
      <left/>
      <right style="medium">
        <color indexed="64"/>
      </right>
      <top/>
      <bottom style="thin">
        <color theme="0" tint="-0.14996795556505021"/>
      </bottom>
      <diagonal/>
    </border>
    <border>
      <left style="medium">
        <color indexed="64"/>
      </left>
      <right/>
      <top style="thin">
        <color theme="0" tint="-0.14996795556505021"/>
      </top>
      <bottom/>
      <diagonal/>
    </border>
    <border>
      <left style="medium">
        <color indexed="64"/>
      </left>
      <right/>
      <top/>
      <bottom style="thin">
        <color theme="0" tint="-0.14996795556505021"/>
      </bottom>
      <diagonal/>
    </border>
    <border>
      <left/>
      <right/>
      <top/>
      <bottom style="thin">
        <color theme="0" tint="-0.14996795556505021"/>
      </bottom>
      <diagonal/>
    </border>
    <border>
      <left style="slantDashDot">
        <color indexed="64"/>
      </left>
      <right/>
      <top style="medium">
        <color indexed="64"/>
      </top>
      <bottom/>
      <diagonal/>
    </border>
    <border>
      <left style="slantDashDot">
        <color indexed="64"/>
      </left>
      <right/>
      <top/>
      <bottom style="medium">
        <color indexed="64"/>
      </bottom>
      <diagonal/>
    </border>
    <border>
      <left style="dotted">
        <color theme="0" tint="-0.24994659260841701"/>
      </left>
      <right/>
      <top style="thin">
        <color theme="0" tint="-0.1499679555650502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theme="0" tint="-0.499984740745262"/>
      </left>
      <right style="hair">
        <color theme="0" tint="-0.499984740745262"/>
      </right>
      <top/>
      <bottom/>
      <diagonal/>
    </border>
    <border>
      <left style="medium">
        <color indexed="64"/>
      </left>
      <right style="hair">
        <color theme="0" tint="-0.499984740745262"/>
      </right>
      <top style="medium">
        <color indexed="64"/>
      </top>
      <bottom/>
      <diagonal/>
    </border>
    <border>
      <left style="medium">
        <color indexed="64"/>
      </left>
      <right style="hair">
        <color theme="0" tint="-0.499984740745262"/>
      </right>
      <top/>
      <bottom/>
      <diagonal/>
    </border>
    <border>
      <left style="medium">
        <color indexed="64"/>
      </left>
      <right style="hair">
        <color theme="0" tint="-0.499984740745262"/>
      </right>
      <top/>
      <bottom style="medium">
        <color indexed="64"/>
      </bottom>
      <diagonal/>
    </border>
    <border>
      <left style="hair">
        <color theme="0" tint="-0.499984740745262"/>
      </left>
      <right style="medium">
        <color indexed="64"/>
      </right>
      <top style="medium">
        <color indexed="64"/>
      </top>
      <bottom/>
      <diagonal/>
    </border>
    <border>
      <left style="hair">
        <color theme="0" tint="-0.499984740745262"/>
      </left>
      <right style="medium">
        <color indexed="64"/>
      </right>
      <top/>
      <bottom/>
      <diagonal/>
    </border>
    <border>
      <left style="medium">
        <color indexed="64"/>
      </left>
      <right/>
      <top style="medium">
        <color indexed="64"/>
      </top>
      <bottom style="hair">
        <color theme="0" tint="-0.14996795556505021"/>
      </bottom>
      <diagonal/>
    </border>
    <border>
      <left/>
      <right/>
      <top style="medium">
        <color indexed="64"/>
      </top>
      <bottom style="hair">
        <color theme="0" tint="-0.14996795556505021"/>
      </bottom>
      <diagonal/>
    </border>
    <border>
      <left/>
      <right style="medium">
        <color indexed="64"/>
      </right>
      <top style="medium">
        <color indexed="64"/>
      </top>
      <bottom style="hair">
        <color theme="0" tint="-0.14996795556505021"/>
      </bottom>
      <diagonal/>
    </border>
    <border>
      <left style="medium">
        <color indexed="64"/>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right style="medium">
        <color indexed="64"/>
      </right>
      <top style="hair">
        <color theme="0" tint="-0.34998626667073579"/>
      </top>
      <bottom style="hair">
        <color theme="0" tint="-0.34998626667073579"/>
      </bottom>
      <diagonal/>
    </border>
    <border>
      <left style="medium">
        <color indexed="64"/>
      </left>
      <right/>
      <top style="hair">
        <color theme="0" tint="-0.34998626667073579"/>
      </top>
      <bottom style="medium">
        <color indexed="64"/>
      </bottom>
      <diagonal/>
    </border>
    <border>
      <left style="hair">
        <color theme="0" tint="-0.499984740745262"/>
      </left>
      <right style="hair">
        <color theme="0" tint="-0.499984740745262"/>
      </right>
      <top style="hair">
        <color theme="0" tint="-0.34998626667073579"/>
      </top>
      <bottom style="medium">
        <color indexed="64"/>
      </bottom>
      <diagonal/>
    </border>
    <border>
      <left/>
      <right style="medium">
        <color indexed="64"/>
      </right>
      <top style="hair">
        <color theme="0" tint="-0.34998626667073579"/>
      </top>
      <bottom style="medium">
        <color indexed="64"/>
      </bottom>
      <diagonal/>
    </border>
    <border>
      <left style="medium">
        <color auto="1"/>
      </left>
      <right/>
      <top style="double">
        <color theme="0" tint="-0.499984740745262"/>
      </top>
      <bottom/>
      <diagonal/>
    </border>
    <border>
      <left/>
      <right style="medium">
        <color auto="1"/>
      </right>
      <top style="double">
        <color theme="0" tint="-0.499984740745262"/>
      </top>
      <bottom/>
      <diagonal/>
    </border>
    <border>
      <left/>
      <right/>
      <top style="medium">
        <color theme="1"/>
      </top>
      <bottom/>
      <diagonal/>
    </border>
    <border>
      <left/>
      <right/>
      <top/>
      <bottom style="medium">
        <color theme="1"/>
      </bottom>
      <diagonal/>
    </border>
    <border>
      <left/>
      <right style="medium">
        <color indexed="64"/>
      </right>
      <top/>
      <bottom style="medium">
        <color theme="1"/>
      </bottom>
      <diagonal/>
    </border>
    <border>
      <left style="medium">
        <color indexed="64"/>
      </left>
      <right style="medium">
        <color indexed="64"/>
      </right>
      <top/>
      <bottom/>
      <diagonal/>
    </border>
    <border>
      <left/>
      <right/>
      <top style="thin">
        <color theme="0" tint="-0.14996795556505021"/>
      </top>
      <bottom/>
      <diagonal/>
    </border>
    <border>
      <left style="thin">
        <color indexed="64"/>
      </left>
      <right/>
      <top style="thin">
        <color indexed="64"/>
      </top>
      <bottom/>
      <diagonal/>
    </border>
    <border>
      <left style="medium">
        <color indexed="64"/>
      </left>
      <right/>
      <top/>
      <bottom style="medium">
        <color theme="1"/>
      </bottom>
      <diagonal/>
    </border>
    <border>
      <left style="medium">
        <color indexed="64"/>
      </left>
      <right style="medium">
        <color indexed="64"/>
      </right>
      <top/>
      <bottom style="medium">
        <color indexed="64"/>
      </bottom>
      <diagonal/>
    </border>
    <border>
      <left style="thin">
        <color indexed="64"/>
      </left>
      <right/>
      <top style="medium">
        <color indexed="64"/>
      </top>
      <bottom/>
      <diagonal/>
    </border>
    <border>
      <left style="medium">
        <color indexed="64"/>
      </left>
      <right style="medium">
        <color indexed="64"/>
      </right>
      <top style="medium">
        <color indexed="64"/>
      </top>
      <bottom/>
      <diagonal/>
    </border>
  </borders>
  <cellStyleXfs count="2">
    <xf numFmtId="0" fontId="0" fillId="0" borderId="0"/>
    <xf numFmtId="9" fontId="11" fillId="0" borderId="0" applyFont="0" applyFill="0" applyBorder="0" applyAlignment="0" applyProtection="0"/>
  </cellStyleXfs>
  <cellXfs count="223">
    <xf numFmtId="0" fontId="0" fillId="0" borderId="0" xfId="0"/>
    <xf numFmtId="0" fontId="0" fillId="0" borderId="0" xfId="0" applyAlignment="1">
      <alignment horizontal="center" vertical="center"/>
    </xf>
    <xf numFmtId="0" fontId="1" fillId="0" borderId="0" xfId="0" applyFont="1" applyAlignment="1">
      <alignment horizontal="center" vertical="center"/>
    </xf>
    <xf numFmtId="0" fontId="0" fillId="2" borderId="0" xfId="0" applyFill="1" applyAlignment="1">
      <alignment horizontal="center" vertical="center"/>
    </xf>
    <xf numFmtId="0" fontId="0" fillId="2" borderId="9" xfId="0" applyFill="1" applyBorder="1" applyAlignment="1">
      <alignment horizontal="center" vertical="center"/>
    </xf>
    <xf numFmtId="0" fontId="0" fillId="2" borderId="0" xfId="0" applyFill="1" applyAlignment="1">
      <alignment horizontal="left" vertical="center"/>
    </xf>
    <xf numFmtId="0" fontId="0" fillId="0" borderId="0" xfId="0" applyAlignment="1">
      <alignment horizontal="left" vertical="center"/>
    </xf>
    <xf numFmtId="0" fontId="0" fillId="2" borderId="13" xfId="0" applyFill="1" applyBorder="1" applyAlignment="1">
      <alignment horizontal="center" vertical="center"/>
    </xf>
    <xf numFmtId="0" fontId="6" fillId="0" borderId="0" xfId="0" applyFont="1" applyAlignment="1">
      <alignment vertical="center"/>
    </xf>
    <xf numFmtId="0" fontId="0" fillId="0" borderId="8" xfId="0" applyBorder="1" applyAlignment="1">
      <alignment horizontal="center" vertical="center"/>
    </xf>
    <xf numFmtId="0" fontId="7" fillId="0" borderId="0" xfId="0" applyFont="1" applyAlignment="1">
      <alignment horizontal="center" vertical="center"/>
    </xf>
    <xf numFmtId="0" fontId="0" fillId="0" borderId="12" xfId="0" applyBorder="1" applyAlignment="1">
      <alignment horizontal="center" vertical="center"/>
    </xf>
    <xf numFmtId="0" fontId="0" fillId="0" borderId="6" xfId="0" applyBorder="1" applyAlignment="1">
      <alignment horizontal="center" vertical="center"/>
    </xf>
    <xf numFmtId="0" fontId="0" fillId="0" borderId="16" xfId="0" applyBorder="1" applyAlignment="1">
      <alignment horizontal="center" vertical="center"/>
    </xf>
    <xf numFmtId="0" fontId="1" fillId="0" borderId="0" xfId="0" applyFont="1" applyAlignment="1">
      <alignment horizontal="left" vertical="center" wrapText="1"/>
    </xf>
    <xf numFmtId="0" fontId="7" fillId="0" borderId="14" xfId="0" applyFont="1" applyBorder="1" applyAlignment="1">
      <alignment horizontal="center" vertical="center"/>
    </xf>
    <xf numFmtId="0" fontId="0" fillId="0" borderId="14" xfId="0" applyBorder="1" applyAlignment="1">
      <alignment horizontal="center" vertical="center"/>
    </xf>
    <xf numFmtId="0" fontId="0" fillId="0" borderId="17" xfId="0" applyBorder="1" applyAlignment="1">
      <alignment horizontal="center" vertical="center"/>
    </xf>
    <xf numFmtId="0" fontId="8" fillId="0" borderId="0" xfId="0" applyFont="1" applyAlignment="1">
      <alignment horizontal="center" vertical="center"/>
    </xf>
    <xf numFmtId="0" fontId="2" fillId="0" borderId="18" xfId="0" applyFont="1" applyBorder="1" applyAlignment="1">
      <alignment horizontal="left" vertical="center"/>
    </xf>
    <xf numFmtId="0" fontId="2" fillId="0" borderId="6" xfId="0" applyFont="1" applyBorder="1" applyAlignment="1">
      <alignment horizontal="left" vertical="center"/>
    </xf>
    <xf numFmtId="0" fontId="0" fillId="0" borderId="3" xfId="0" applyBorder="1" applyAlignment="1">
      <alignment vertical="center" wrapText="1"/>
    </xf>
    <xf numFmtId="0" fontId="0" fillId="0" borderId="4" xfId="0" applyBorder="1" applyAlignment="1">
      <alignment vertical="center" wrapText="1"/>
    </xf>
    <xf numFmtId="0" fontId="0" fillId="0" borderId="15" xfId="0" applyBorder="1" applyAlignment="1">
      <alignment horizontal="left" vertical="center" wrapText="1"/>
    </xf>
    <xf numFmtId="0" fontId="0" fillId="0" borderId="10" xfId="0" applyBorder="1" applyAlignment="1">
      <alignment horizontal="left" vertical="center" wrapText="1"/>
    </xf>
    <xf numFmtId="0" fontId="0" fillId="0" borderId="15" xfId="0" applyBorder="1" applyAlignment="1">
      <alignment vertical="center" wrapText="1"/>
    </xf>
    <xf numFmtId="0" fontId="0" fillId="0" borderId="10" xfId="0" applyBorder="1" applyAlignment="1">
      <alignment vertical="center" wrapText="1"/>
    </xf>
    <xf numFmtId="0" fontId="0" fillId="0" borderId="0" xfId="0" quotePrefix="1" applyAlignment="1">
      <alignment vertical="center" wrapText="1"/>
    </xf>
    <xf numFmtId="0" fontId="0" fillId="5" borderId="21" xfId="0" applyFill="1" applyBorder="1" applyAlignment="1">
      <alignment vertical="center" wrapText="1"/>
    </xf>
    <xf numFmtId="0" fontId="0" fillId="5" borderId="22" xfId="0" applyFill="1" applyBorder="1" applyAlignment="1">
      <alignment vertical="center" wrapText="1"/>
    </xf>
    <xf numFmtId="0" fontId="0" fillId="5" borderId="19" xfId="0" applyFill="1" applyBorder="1" applyAlignment="1">
      <alignment vertical="center" wrapText="1"/>
    </xf>
    <xf numFmtId="0" fontId="2" fillId="0" borderId="0" xfId="0" applyFont="1" applyAlignment="1">
      <alignment vertical="center"/>
    </xf>
    <xf numFmtId="0" fontId="3" fillId="0" borderId="15" xfId="0" applyFont="1" applyBorder="1" applyAlignment="1">
      <alignment horizontal="center" vertical="center" wrapText="1"/>
    </xf>
    <xf numFmtId="0" fontId="0" fillId="0" borderId="15" xfId="0" applyBorder="1" applyAlignment="1">
      <alignment vertical="top" wrapText="1"/>
    </xf>
    <xf numFmtId="0" fontId="0" fillId="0" borderId="3" xfId="0" applyBorder="1" applyAlignment="1">
      <alignment vertical="top" wrapText="1"/>
    </xf>
    <xf numFmtId="0" fontId="5" fillId="0" borderId="0" xfId="0" applyFont="1" applyAlignment="1">
      <alignment vertical="center" wrapText="1"/>
    </xf>
    <xf numFmtId="0" fontId="10" fillId="0" borderId="0" xfId="0" applyFont="1" applyAlignment="1">
      <alignment vertical="center"/>
    </xf>
    <xf numFmtId="0" fontId="4" fillId="7" borderId="20" xfId="0" applyFont="1" applyFill="1" applyBorder="1" applyAlignment="1">
      <alignment horizontal="center" vertical="center" wrapText="1"/>
    </xf>
    <xf numFmtId="0" fontId="4" fillId="7" borderId="22" xfId="0" applyFont="1" applyFill="1" applyBorder="1" applyAlignment="1">
      <alignment horizontal="center" vertical="center" wrapText="1"/>
    </xf>
    <xf numFmtId="0" fontId="3" fillId="0" borderId="23" xfId="0" applyFont="1" applyBorder="1" applyAlignment="1">
      <alignment horizontal="center" vertical="center" wrapText="1"/>
    </xf>
    <xf numFmtId="0" fontId="0" fillId="0" borderId="10" xfId="0" quotePrefix="1" applyBorder="1" applyAlignment="1">
      <alignment vertical="center" wrapText="1"/>
    </xf>
    <xf numFmtId="0" fontId="0" fillId="0" borderId="4" xfId="0" quotePrefix="1" applyBorder="1" applyAlignment="1">
      <alignment vertical="center" wrapText="1"/>
    </xf>
    <xf numFmtId="0" fontId="0" fillId="5" borderId="25" xfId="0" applyFill="1" applyBorder="1" applyAlignment="1">
      <alignment vertical="center" wrapText="1"/>
    </xf>
    <xf numFmtId="0" fontId="0" fillId="0" borderId="26" xfId="0" applyBorder="1" applyAlignment="1">
      <alignment vertical="center" wrapText="1"/>
    </xf>
    <xf numFmtId="0" fontId="0" fillId="0" borderId="26" xfId="0" quotePrefix="1" applyBorder="1" applyAlignment="1">
      <alignment vertical="center" wrapText="1"/>
    </xf>
    <xf numFmtId="0" fontId="0" fillId="5" borderId="27" xfId="0" applyFill="1" applyBorder="1" applyAlignment="1">
      <alignment vertical="center" wrapText="1"/>
    </xf>
    <xf numFmtId="0" fontId="2" fillId="0" borderId="0" xfId="0" applyFont="1" applyAlignment="1">
      <alignment horizontal="left" vertical="center"/>
    </xf>
    <xf numFmtId="0" fontId="12" fillId="0" borderId="14" xfId="0" applyFont="1" applyBorder="1" applyAlignment="1">
      <alignment horizontal="center" vertical="center"/>
    </xf>
    <xf numFmtId="0" fontId="0" fillId="0" borderId="15" xfId="0" applyBorder="1" applyAlignment="1">
      <alignment horizontal="left" vertical="top" wrapText="1"/>
    </xf>
    <xf numFmtId="0" fontId="7" fillId="0" borderId="6" xfId="0" applyFont="1" applyBorder="1" applyAlignment="1">
      <alignment horizontal="center" vertical="center"/>
    </xf>
    <xf numFmtId="0" fontId="0" fillId="0" borderId="0" xfId="0" applyAlignment="1">
      <alignment vertical="center" wrapText="1"/>
    </xf>
    <xf numFmtId="0" fontId="0" fillId="0" borderId="0" xfId="0" applyAlignment="1">
      <alignment vertical="top" wrapText="1"/>
    </xf>
    <xf numFmtId="0" fontId="4" fillId="0" borderId="0" xfId="0" applyFont="1" applyAlignment="1">
      <alignment horizontal="center" vertical="center" wrapText="1"/>
    </xf>
    <xf numFmtId="0" fontId="0" fillId="5" borderId="29" xfId="0" applyFill="1" applyBorder="1" applyAlignment="1">
      <alignment vertical="center" wrapText="1"/>
    </xf>
    <xf numFmtId="0" fontId="0" fillId="5" borderId="30" xfId="0" applyFill="1" applyBorder="1" applyAlignment="1">
      <alignment vertical="center" wrapText="1"/>
    </xf>
    <xf numFmtId="0" fontId="3" fillId="0" borderId="31" xfId="0" applyFont="1" applyBorder="1" applyAlignment="1">
      <alignment horizontal="center" vertical="center" wrapText="1"/>
    </xf>
    <xf numFmtId="0" fontId="0" fillId="0" borderId="15" xfId="0" applyBorder="1" applyAlignment="1">
      <alignment horizontal="center" vertical="top" wrapText="1"/>
    </xf>
    <xf numFmtId="0" fontId="0" fillId="0" borderId="32" xfId="0" applyBorder="1" applyAlignment="1">
      <alignment horizontal="center" vertical="top" wrapText="1"/>
    </xf>
    <xf numFmtId="0" fontId="0" fillId="0" borderId="24" xfId="0" applyBorder="1" applyAlignment="1">
      <alignment horizontal="center" vertical="top" wrapText="1"/>
    </xf>
    <xf numFmtId="0" fontId="0" fillId="0" borderId="33" xfId="0" applyBorder="1" applyAlignment="1">
      <alignment vertical="center" wrapText="1"/>
    </xf>
    <xf numFmtId="0" fontId="0" fillId="0" borderId="0" xfId="0" applyAlignment="1">
      <alignment horizontal="center" vertical="top" wrapText="1"/>
    </xf>
    <xf numFmtId="0" fontId="0" fillId="0" borderId="36" xfId="0" applyBorder="1" applyAlignment="1">
      <alignment horizontal="left" vertical="center" wrapText="1"/>
    </xf>
    <xf numFmtId="0" fontId="14" fillId="0" borderId="0" xfId="0" applyFont="1" applyAlignment="1">
      <alignment horizontal="center" vertical="top" wrapText="1"/>
    </xf>
    <xf numFmtId="0" fontId="0" fillId="0" borderId="0" xfId="0" applyAlignment="1">
      <alignment horizontal="left" vertical="center" wrapText="1"/>
    </xf>
    <xf numFmtId="0" fontId="0" fillId="0" borderId="35" xfId="0" applyBorder="1" applyAlignment="1">
      <alignment vertical="center" wrapText="1"/>
    </xf>
    <xf numFmtId="0" fontId="2" fillId="0" borderId="0" xfId="0" applyFont="1" applyAlignment="1">
      <alignment horizontal="center" vertical="center"/>
    </xf>
    <xf numFmtId="0" fontId="0" fillId="0" borderId="5" xfId="0" applyBorder="1" applyAlignment="1">
      <alignment horizontal="center" vertical="center"/>
    </xf>
    <xf numFmtId="0" fontId="0" fillId="0" borderId="15" xfId="0" applyBorder="1" applyAlignment="1">
      <alignment horizontal="center" vertical="center"/>
    </xf>
    <xf numFmtId="0" fontId="0" fillId="0" borderId="10" xfId="0" applyBorder="1" applyAlignment="1">
      <alignment horizontal="center" vertical="center"/>
    </xf>
    <xf numFmtId="0" fontId="0" fillId="0" borderId="4" xfId="0"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18" fillId="0" borderId="0" xfId="0" applyFont="1" applyAlignment="1">
      <alignment horizontal="center" vertical="center"/>
    </xf>
    <xf numFmtId="0" fontId="0" fillId="0" borderId="56" xfId="0" applyBorder="1" applyAlignment="1">
      <alignment horizontal="center" vertical="center"/>
    </xf>
    <xf numFmtId="0" fontId="0" fillId="0" borderId="57" xfId="0" applyBorder="1" applyAlignment="1">
      <alignment horizontal="center" vertical="center"/>
    </xf>
    <xf numFmtId="0" fontId="0" fillId="0" borderId="58" xfId="0" applyBorder="1" applyAlignment="1">
      <alignment horizontal="center" vertical="center"/>
    </xf>
    <xf numFmtId="0" fontId="22" fillId="0" borderId="0" xfId="0" applyFont="1" applyAlignment="1">
      <alignment horizontal="left" vertical="center"/>
    </xf>
    <xf numFmtId="0" fontId="0" fillId="0" borderId="5" xfId="0" applyBorder="1" applyAlignment="1">
      <alignment vertical="top" wrapText="1"/>
    </xf>
    <xf numFmtId="0" fontId="24" fillId="0" borderId="0" xfId="0" applyFont="1" applyAlignment="1">
      <alignment horizontal="center" vertical="center"/>
    </xf>
    <xf numFmtId="0" fontId="25" fillId="0" borderId="0" xfId="0" applyFont="1" applyAlignment="1">
      <alignment vertical="center" wrapText="1"/>
    </xf>
    <xf numFmtId="0" fontId="27" fillId="0" borderId="0" xfId="0" applyFont="1" applyAlignment="1">
      <alignment vertical="center" wrapText="1"/>
    </xf>
    <xf numFmtId="0" fontId="13" fillId="0" borderId="0" xfId="0" applyFont="1" applyAlignment="1">
      <alignment vertical="center"/>
    </xf>
    <xf numFmtId="0" fontId="0" fillId="5" borderId="27" xfId="0" applyFill="1" applyBorder="1" applyAlignment="1">
      <alignment vertical="center"/>
    </xf>
    <xf numFmtId="0" fontId="3" fillId="0" borderId="0" xfId="0" applyFont="1" applyAlignment="1">
      <alignment horizontal="center" vertical="center"/>
    </xf>
    <xf numFmtId="0" fontId="4" fillId="7" borderId="10" xfId="0" applyFont="1" applyFill="1" applyBorder="1" applyAlignment="1">
      <alignment horizontal="center" vertical="center" wrapText="1"/>
    </xf>
    <xf numFmtId="0" fontId="16" fillId="0" borderId="0" xfId="0" applyFont="1" applyAlignment="1">
      <alignment horizontal="center" vertical="center"/>
    </xf>
    <xf numFmtId="0" fontId="7" fillId="0" borderId="0" xfId="0" applyFont="1" applyAlignment="1">
      <alignment horizontal="left" vertical="center"/>
    </xf>
    <xf numFmtId="0" fontId="4" fillId="6" borderId="64" xfId="0" applyFont="1" applyFill="1" applyBorder="1" applyAlignment="1">
      <alignment vertical="center" wrapText="1"/>
    </xf>
    <xf numFmtId="0" fontId="3" fillId="0" borderId="65" xfId="0" applyFont="1" applyBorder="1" applyAlignment="1">
      <alignment horizontal="center" vertical="center" wrapText="1"/>
    </xf>
    <xf numFmtId="0" fontId="0" fillId="0" borderId="66" xfId="0" applyBorder="1" applyAlignment="1">
      <alignment horizontal="center" vertical="center"/>
    </xf>
    <xf numFmtId="0" fontId="0" fillId="0" borderId="11" xfId="0" applyBorder="1" applyAlignment="1">
      <alignment horizontal="center" vertical="center"/>
    </xf>
    <xf numFmtId="0" fontId="3" fillId="0" borderId="0" xfId="0" applyFont="1" applyAlignment="1">
      <alignment horizontal="left" vertical="center"/>
    </xf>
    <xf numFmtId="0" fontId="3" fillId="0" borderId="16" xfId="0" applyFont="1" applyBorder="1" applyAlignment="1">
      <alignment horizontal="left" vertical="center"/>
    </xf>
    <xf numFmtId="0" fontId="3" fillId="0" borderId="17" xfId="0" applyFont="1" applyBorder="1" applyAlignment="1">
      <alignment horizontal="left" vertical="center"/>
    </xf>
    <xf numFmtId="0" fontId="3" fillId="2" borderId="14" xfId="0" applyFont="1" applyFill="1" applyBorder="1" applyAlignment="1">
      <alignment horizontal="left" vertical="center"/>
    </xf>
    <xf numFmtId="0" fontId="3" fillId="0" borderId="14" xfId="0" applyFont="1" applyBorder="1" applyAlignment="1">
      <alignment horizontal="center" vertical="center"/>
    </xf>
    <xf numFmtId="0" fontId="3" fillId="0" borderId="18" xfId="0" applyFont="1" applyBorder="1" applyAlignment="1">
      <alignment horizontal="center" vertical="center"/>
    </xf>
    <xf numFmtId="0" fontId="3" fillId="0" borderId="16" xfId="0" applyFont="1" applyBorder="1" applyAlignment="1">
      <alignment horizontal="center" vertical="center"/>
    </xf>
    <xf numFmtId="0" fontId="3" fillId="0" borderId="7" xfId="0" applyFont="1" applyBorder="1" applyAlignment="1">
      <alignment horizontal="center" vertical="center"/>
    </xf>
    <xf numFmtId="0" fontId="3" fillId="0" borderId="6" xfId="0" applyFont="1" applyBorder="1" applyAlignment="1">
      <alignment horizontal="center" vertical="center"/>
    </xf>
    <xf numFmtId="0" fontId="0" fillId="0" borderId="13" xfId="0" applyBorder="1" applyAlignment="1">
      <alignment horizontal="center" vertical="center"/>
    </xf>
    <xf numFmtId="0" fontId="0" fillId="0" borderId="0" xfId="0" applyAlignment="1">
      <alignment vertical="center"/>
    </xf>
    <xf numFmtId="0" fontId="6" fillId="0" borderId="5" xfId="0" applyFont="1" applyBorder="1" applyAlignment="1">
      <alignment vertical="center"/>
    </xf>
    <xf numFmtId="0" fontId="0" fillId="0" borderId="69" xfId="0" applyBorder="1" applyAlignment="1">
      <alignment horizontal="center" vertical="center"/>
    </xf>
    <xf numFmtId="0" fontId="0" fillId="5" borderId="1" xfId="0" applyFill="1" applyBorder="1" applyAlignment="1">
      <alignment vertical="center" wrapText="1"/>
    </xf>
    <xf numFmtId="0" fontId="4" fillId="7" borderId="2" xfId="0" applyFont="1" applyFill="1" applyBorder="1" applyAlignment="1">
      <alignment horizontal="center" vertical="center" wrapText="1"/>
    </xf>
    <xf numFmtId="0" fontId="0" fillId="0" borderId="2" xfId="0" applyBorder="1" applyAlignment="1">
      <alignment vertical="center" wrapText="1"/>
    </xf>
    <xf numFmtId="0" fontId="0" fillId="5" borderId="35" xfId="0" applyFill="1" applyBorder="1" applyAlignment="1">
      <alignment vertical="center" wrapText="1"/>
    </xf>
    <xf numFmtId="0" fontId="0" fillId="0" borderId="1" xfId="0" applyBorder="1" applyAlignment="1">
      <alignment vertical="center" wrapText="1"/>
    </xf>
    <xf numFmtId="1" fontId="0" fillId="0" borderId="15" xfId="0" applyNumberFormat="1" applyBorder="1" applyAlignment="1">
      <alignment horizontal="center" vertical="center"/>
    </xf>
    <xf numFmtId="1" fontId="0" fillId="0" borderId="44" xfId="0" applyNumberFormat="1" applyBorder="1" applyAlignment="1">
      <alignment horizontal="center" vertical="center"/>
    </xf>
    <xf numFmtId="1" fontId="0" fillId="0" borderId="10" xfId="0" applyNumberFormat="1" applyBorder="1" applyAlignment="1">
      <alignment horizontal="center" vertical="center"/>
    </xf>
    <xf numFmtId="1" fontId="7" fillId="0" borderId="0" xfId="0" applyNumberFormat="1" applyFont="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xf>
    <xf numFmtId="0" fontId="5" fillId="3" borderId="1"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4" fillId="5" borderId="41" xfId="0" applyFont="1" applyFill="1" applyBorder="1" applyAlignment="1">
      <alignment horizontal="center" vertical="center" wrapText="1"/>
    </xf>
    <xf numFmtId="0" fontId="4" fillId="5" borderId="43" xfId="0" applyFont="1" applyFill="1" applyBorder="1" applyAlignment="1">
      <alignment horizontal="center" vertical="center" wrapText="1"/>
    </xf>
    <xf numFmtId="0" fontId="19" fillId="0" borderId="48" xfId="0" applyFont="1" applyBorder="1" applyAlignment="1">
      <alignment horizontal="center" vertical="center"/>
    </xf>
    <xf numFmtId="0" fontId="19" fillId="0" borderId="49" xfId="0" applyFont="1" applyBorder="1" applyAlignment="1">
      <alignment horizontal="center" vertical="center"/>
    </xf>
    <xf numFmtId="0" fontId="9" fillId="4" borderId="1"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9" fillId="4" borderId="6" xfId="0" applyFont="1" applyFill="1" applyBorder="1" applyAlignment="1">
      <alignment horizontal="center" vertical="center" wrapText="1"/>
    </xf>
    <xf numFmtId="0" fontId="9" fillId="4" borderId="4" xfId="0" applyFont="1" applyFill="1" applyBorder="1" applyAlignment="1">
      <alignment horizontal="center" vertical="center" wrapText="1"/>
    </xf>
    <xf numFmtId="0" fontId="10" fillId="0" borderId="0" xfId="0" applyFont="1" applyAlignment="1">
      <alignment horizontal="center" vertical="center"/>
    </xf>
    <xf numFmtId="0" fontId="0" fillId="0" borderId="10" xfId="0" applyBorder="1" applyAlignment="1">
      <alignment horizontal="center" vertical="top" wrapText="1"/>
    </xf>
    <xf numFmtId="0" fontId="0" fillId="0" borderId="4" xfId="0" applyBorder="1" applyAlignment="1">
      <alignment horizontal="center" vertical="top" wrapText="1"/>
    </xf>
    <xf numFmtId="0" fontId="4" fillId="5" borderId="42" xfId="0" applyFont="1" applyFill="1" applyBorder="1" applyAlignment="1">
      <alignment horizontal="center" vertical="center" wrapText="1"/>
    </xf>
    <xf numFmtId="0" fontId="0" fillId="0" borderId="15" xfId="0" applyBorder="1" applyAlignment="1">
      <alignment horizontal="center" vertical="top" wrapText="1"/>
    </xf>
    <xf numFmtId="0" fontId="0" fillId="0" borderId="0" xfId="0" applyAlignment="1">
      <alignment horizontal="center" vertical="top" wrapText="1"/>
    </xf>
    <xf numFmtId="0" fontId="0" fillId="0" borderId="3" xfId="0" applyBorder="1" applyAlignment="1">
      <alignment horizontal="center" vertical="top" wrapText="1"/>
    </xf>
    <xf numFmtId="0" fontId="0" fillId="0" borderId="6" xfId="0" applyBorder="1" applyAlignment="1">
      <alignment horizontal="center" vertical="top" wrapText="1"/>
    </xf>
    <xf numFmtId="0" fontId="0" fillId="0" borderId="1" xfId="0" applyBorder="1" applyAlignment="1">
      <alignment horizontal="center" vertical="top" wrapText="1"/>
    </xf>
    <xf numFmtId="0" fontId="0" fillId="0" borderId="5" xfId="0" applyBorder="1" applyAlignment="1">
      <alignment horizontal="center" vertical="top" wrapText="1"/>
    </xf>
    <xf numFmtId="0" fontId="0" fillId="0" borderId="2" xfId="0" applyBorder="1" applyAlignment="1">
      <alignment horizontal="center" vertical="top" wrapText="1"/>
    </xf>
    <xf numFmtId="0" fontId="0" fillId="0" borderId="70" xfId="0" applyBorder="1" applyAlignment="1">
      <alignment horizontal="center" vertical="top" wrapText="1"/>
    </xf>
    <xf numFmtId="0" fontId="0" fillId="0" borderId="64" xfId="0" applyBorder="1" applyAlignment="1">
      <alignment horizontal="center" vertical="top" wrapText="1"/>
    </xf>
    <xf numFmtId="0" fontId="28" fillId="0" borderId="70" xfId="0" applyFont="1" applyBorder="1" applyAlignment="1">
      <alignment horizontal="center" vertical="center" wrapText="1"/>
    </xf>
    <xf numFmtId="0" fontId="28" fillId="0" borderId="64" xfId="0" applyFont="1" applyBorder="1" applyAlignment="1">
      <alignment horizontal="center" vertical="center" wrapText="1"/>
    </xf>
    <xf numFmtId="0" fontId="28" fillId="0" borderId="68" xfId="0" applyFont="1" applyBorder="1" applyAlignment="1">
      <alignment horizontal="center" vertical="center" wrapText="1"/>
    </xf>
    <xf numFmtId="0" fontId="4" fillId="0" borderId="5" xfId="0" applyFont="1" applyBorder="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7" fillId="0" borderId="6" xfId="0" applyFont="1" applyBorder="1" applyAlignment="1">
      <alignment horizontal="center" vertical="center"/>
    </xf>
    <xf numFmtId="0" fontId="0" fillId="0" borderId="35" xfId="0" applyBorder="1" applyAlignment="1">
      <alignment horizontal="left" vertical="center" wrapText="1"/>
    </xf>
    <xf numFmtId="0" fontId="0" fillId="0" borderId="15" xfId="0" applyBorder="1" applyAlignment="1">
      <alignment horizontal="left" vertical="center" wrapText="1"/>
    </xf>
    <xf numFmtId="0" fontId="4" fillId="6" borderId="1" xfId="0" applyFont="1" applyFill="1" applyBorder="1" applyAlignment="1">
      <alignment horizontal="left" vertical="center" wrapText="1"/>
    </xf>
    <xf numFmtId="0" fontId="4" fillId="6" borderId="5" xfId="0" applyFont="1" applyFill="1" applyBorder="1" applyAlignment="1">
      <alignment horizontal="left" vertical="center" wrapText="1"/>
    </xf>
    <xf numFmtId="0" fontId="4" fillId="6" borderId="2" xfId="0" applyFont="1" applyFill="1" applyBorder="1" applyAlignment="1">
      <alignment horizontal="left" vertical="center" wrapText="1"/>
    </xf>
    <xf numFmtId="0" fontId="4" fillId="6" borderId="3" xfId="0" applyFont="1" applyFill="1" applyBorder="1" applyAlignment="1">
      <alignment horizontal="left" vertical="center" wrapText="1"/>
    </xf>
    <xf numFmtId="0" fontId="4" fillId="6" borderId="6" xfId="0" applyFont="1" applyFill="1" applyBorder="1" applyAlignment="1">
      <alignment horizontal="left" vertical="center" wrapText="1"/>
    </xf>
    <xf numFmtId="0" fontId="4" fillId="6" borderId="4" xfId="0" applyFont="1" applyFill="1" applyBorder="1" applyAlignment="1">
      <alignment horizontal="left" vertical="center" wrapText="1"/>
    </xf>
    <xf numFmtId="0" fontId="0" fillId="0" borderId="35" xfId="0" applyBorder="1" applyAlignment="1">
      <alignment horizontal="left" vertical="top" wrapText="1"/>
    </xf>
    <xf numFmtId="0" fontId="0" fillId="0" borderId="15" xfId="0" applyBorder="1" applyAlignment="1">
      <alignment horizontal="left" vertical="top" wrapText="1"/>
    </xf>
    <xf numFmtId="0" fontId="15" fillId="0" borderId="61" xfId="0" applyFont="1" applyBorder="1" applyAlignment="1">
      <alignment horizontal="center" vertical="center" wrapText="1"/>
    </xf>
    <xf numFmtId="0" fontId="20" fillId="0" borderId="0" xfId="0" applyFont="1" applyAlignment="1">
      <alignment horizontal="left" vertical="center"/>
    </xf>
    <xf numFmtId="0" fontId="20" fillId="0" borderId="10" xfId="0" applyFont="1" applyBorder="1" applyAlignment="1">
      <alignment horizontal="left" vertical="center"/>
    </xf>
    <xf numFmtId="0" fontId="20" fillId="0" borderId="6" xfId="0" applyFont="1" applyBorder="1" applyAlignment="1">
      <alignment horizontal="left" vertical="center"/>
    </xf>
    <xf numFmtId="0" fontId="20" fillId="0" borderId="4" xfId="0" applyFont="1" applyBorder="1" applyAlignment="1">
      <alignment horizontal="left" vertical="center"/>
    </xf>
    <xf numFmtId="0" fontId="0" fillId="0" borderId="1" xfId="0" applyBorder="1" applyAlignment="1">
      <alignment horizontal="left" vertical="top" wrapText="1"/>
    </xf>
    <xf numFmtId="0" fontId="0" fillId="0" borderId="3" xfId="0" applyBorder="1" applyAlignment="1">
      <alignment horizontal="left" vertical="top" wrapText="1"/>
    </xf>
    <xf numFmtId="0" fontId="17" fillId="0" borderId="0" xfId="0" applyFont="1" applyAlignment="1">
      <alignment horizontal="center" vertical="center"/>
    </xf>
    <xf numFmtId="0" fontId="26" fillId="0" borderId="0" xfId="0" applyFont="1" applyAlignment="1">
      <alignment horizontal="left" vertical="center" wrapText="1"/>
    </xf>
    <xf numFmtId="0" fontId="15" fillId="6" borderId="1" xfId="0" applyFont="1" applyFill="1" applyBorder="1" applyAlignment="1">
      <alignment horizontal="center" vertical="center"/>
    </xf>
    <xf numFmtId="0" fontId="15" fillId="6" borderId="3" xfId="0" applyFont="1" applyFill="1" applyBorder="1" applyAlignment="1">
      <alignment horizontal="center" vertical="center"/>
    </xf>
    <xf numFmtId="0" fontId="15" fillId="6" borderId="38" xfId="0" applyFont="1" applyFill="1" applyBorder="1" applyAlignment="1">
      <alignment horizontal="center" vertical="center" wrapText="1"/>
    </xf>
    <xf numFmtId="0" fontId="15" fillId="6" borderId="2" xfId="0" applyFont="1" applyFill="1" applyBorder="1" applyAlignment="1">
      <alignment horizontal="center" vertical="center" wrapText="1"/>
    </xf>
    <xf numFmtId="0" fontId="15" fillId="6" borderId="39" xfId="0" applyFont="1" applyFill="1" applyBorder="1" applyAlignment="1">
      <alignment horizontal="center" vertical="center" wrapText="1"/>
    </xf>
    <xf numFmtId="0" fontId="15" fillId="6" borderId="4"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6" borderId="5"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6" borderId="5"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4" fillId="6" borderId="67" xfId="0" applyFont="1" applyFill="1" applyBorder="1" applyAlignment="1">
      <alignment horizontal="center" vertical="center" wrapText="1"/>
    </xf>
    <xf numFmtId="0" fontId="4" fillId="6" borderId="62" xfId="0" applyFont="1" applyFill="1" applyBorder="1" applyAlignment="1">
      <alignment horizontal="center" vertical="center" wrapText="1"/>
    </xf>
    <xf numFmtId="0" fontId="4" fillId="6" borderId="63"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4" fillId="6" borderId="6"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2" fillId="0" borderId="0" xfId="0" applyFont="1" applyAlignment="1">
      <alignment horizontal="center" vertical="center"/>
    </xf>
    <xf numFmtId="0" fontId="4" fillId="0" borderId="5" xfId="0" applyFont="1" applyBorder="1" applyAlignment="1">
      <alignment horizontal="center" vertical="center"/>
    </xf>
    <xf numFmtId="0" fontId="15" fillId="0" borderId="61" xfId="0" applyFont="1" applyBorder="1" applyAlignment="1">
      <alignment horizontal="center" vertical="center"/>
    </xf>
    <xf numFmtId="9" fontId="21" fillId="0" borderId="10" xfId="1" applyFont="1" applyBorder="1" applyAlignment="1">
      <alignment horizontal="center" vertical="center"/>
    </xf>
    <xf numFmtId="0" fontId="0" fillId="0" borderId="36" xfId="0" applyBorder="1" applyAlignment="1">
      <alignment horizontal="left" vertical="center" wrapText="1"/>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3" xfId="0" applyBorder="1" applyAlignment="1">
      <alignment horizontal="left" vertical="center" wrapText="1"/>
    </xf>
    <xf numFmtId="0" fontId="7" fillId="0" borderId="0" xfId="0" applyFont="1" applyAlignment="1">
      <alignment horizontal="center" vertical="center"/>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0" fillId="0" borderId="34" xfId="0" applyBorder="1" applyAlignment="1">
      <alignment horizontal="center" vertical="center" wrapText="1"/>
    </xf>
    <xf numFmtId="0" fontId="0" fillId="0" borderId="3" xfId="0" applyBorder="1" applyAlignment="1">
      <alignment horizontal="center" wrapText="1"/>
    </xf>
    <xf numFmtId="0" fontId="0" fillId="0" borderId="6" xfId="0" applyBorder="1" applyAlignment="1">
      <alignment horizontal="center" wrapText="1"/>
    </xf>
    <xf numFmtId="0" fontId="0" fillId="0" borderId="4" xfId="0" applyBorder="1" applyAlignment="1">
      <alignment horizontal="center" wrapText="1"/>
    </xf>
    <xf numFmtId="0" fontId="0" fillId="0" borderId="40" xfId="0" quotePrefix="1" applyBorder="1" applyAlignment="1">
      <alignment horizontal="center" vertical="center" wrapText="1"/>
    </xf>
    <xf numFmtId="0" fontId="0" fillId="0" borderId="26" xfId="0" quotePrefix="1" applyBorder="1" applyAlignment="1">
      <alignment horizontal="center" vertical="center" wrapText="1"/>
    </xf>
    <xf numFmtId="0" fontId="0" fillId="0" borderId="28" xfId="0" quotePrefix="1" applyBorder="1" applyAlignment="1">
      <alignment horizontal="center" vertical="center" wrapText="1"/>
    </xf>
    <xf numFmtId="0" fontId="0" fillId="0" borderId="0" xfId="0" applyAlignment="1">
      <alignment vertical="center" wrapText="1"/>
    </xf>
    <xf numFmtId="0" fontId="24" fillId="0" borderId="50" xfId="0" applyFont="1" applyBorder="1" applyAlignment="1">
      <alignment horizontal="center" vertical="center"/>
    </xf>
    <xf numFmtId="0" fontId="24" fillId="0" borderId="51" xfId="0" applyFont="1" applyBorder="1" applyAlignment="1">
      <alignment horizontal="center" vertical="center"/>
    </xf>
    <xf numFmtId="0" fontId="24" fillId="0" borderId="52" xfId="0" applyFont="1" applyBorder="1" applyAlignment="1">
      <alignment horizontal="center" vertical="center"/>
    </xf>
    <xf numFmtId="0" fontId="24" fillId="0" borderId="53" xfId="0" applyFont="1" applyBorder="1" applyAlignment="1">
      <alignment horizontal="center" vertical="center"/>
    </xf>
    <xf numFmtId="0" fontId="24" fillId="0" borderId="54" xfId="0" applyFont="1" applyBorder="1" applyAlignment="1">
      <alignment horizontal="center" vertical="center"/>
    </xf>
    <xf numFmtId="0" fontId="24" fillId="0" borderId="55" xfId="0" applyFont="1" applyBorder="1" applyAlignment="1">
      <alignment horizontal="center" vertical="center"/>
    </xf>
    <xf numFmtId="0" fontId="20" fillId="0" borderId="5" xfId="0" applyFont="1" applyBorder="1" applyAlignment="1">
      <alignment horizontal="left" vertical="center"/>
    </xf>
    <xf numFmtId="0" fontId="20" fillId="0" borderId="2" xfId="0" applyFont="1" applyBorder="1" applyAlignment="1">
      <alignment horizontal="left" vertical="center"/>
    </xf>
    <xf numFmtId="0" fontId="0" fillId="0" borderId="59" xfId="0" applyBorder="1" applyAlignment="1">
      <alignment horizontal="left" vertical="top" wrapText="1"/>
    </xf>
    <xf numFmtId="0" fontId="0" fillId="0" borderId="60" xfId="0" applyBorder="1" applyAlignment="1">
      <alignment horizontal="center" vertical="top" wrapText="1"/>
    </xf>
    <xf numFmtId="3" fontId="19" fillId="0" borderId="48" xfId="0" applyNumberFormat="1" applyFont="1" applyBorder="1" applyAlignment="1">
      <alignment horizontal="center" vertical="center"/>
    </xf>
  </cellXfs>
  <cellStyles count="2">
    <cellStyle name="Normal" xfId="0" builtinId="0"/>
    <cellStyle name="Porcentagem"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11.jpeg"/><Relationship Id="rId18" Type="http://schemas.openxmlformats.org/officeDocument/2006/relationships/image" Target="../media/image16.png"/><Relationship Id="rId3" Type="http://schemas.microsoft.com/office/2007/relationships/hdphoto" Target="../media/hdphoto1.wdp"/><Relationship Id="rId7" Type="http://schemas.openxmlformats.org/officeDocument/2006/relationships/image" Target="../media/image5.jpeg"/><Relationship Id="rId12" Type="http://schemas.openxmlformats.org/officeDocument/2006/relationships/image" Target="../media/image10.png"/><Relationship Id="rId17" Type="http://schemas.openxmlformats.org/officeDocument/2006/relationships/image" Target="../media/image15.jpeg"/><Relationship Id="rId2" Type="http://schemas.openxmlformats.org/officeDocument/2006/relationships/image" Target="../media/image2.png"/><Relationship Id="rId16" Type="http://schemas.openxmlformats.org/officeDocument/2006/relationships/image" Target="../media/image14.jpeg"/><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image" Target="../media/image9.png"/><Relationship Id="rId5" Type="http://schemas.microsoft.com/office/2007/relationships/hdphoto" Target="../media/hdphoto2.wdp"/><Relationship Id="rId15" Type="http://schemas.openxmlformats.org/officeDocument/2006/relationships/image" Target="../media/image13.png"/><Relationship Id="rId10" Type="http://schemas.openxmlformats.org/officeDocument/2006/relationships/image" Target="../media/image8.png"/><Relationship Id="rId19" Type="http://schemas.openxmlformats.org/officeDocument/2006/relationships/image" Target="../media/image17.jpeg"/><Relationship Id="rId4" Type="http://schemas.openxmlformats.org/officeDocument/2006/relationships/image" Target="../media/image3.png"/><Relationship Id="rId9" Type="http://schemas.openxmlformats.org/officeDocument/2006/relationships/image" Target="../media/image7.png"/><Relationship Id="rId14" Type="http://schemas.openxmlformats.org/officeDocument/2006/relationships/image" Target="../media/image12.jpeg"/></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11.jpeg"/><Relationship Id="rId18" Type="http://schemas.openxmlformats.org/officeDocument/2006/relationships/image" Target="../media/image16.png"/><Relationship Id="rId3" Type="http://schemas.microsoft.com/office/2007/relationships/hdphoto" Target="../media/hdphoto1.wdp"/><Relationship Id="rId7" Type="http://schemas.openxmlformats.org/officeDocument/2006/relationships/image" Target="../media/image5.jpeg"/><Relationship Id="rId12" Type="http://schemas.openxmlformats.org/officeDocument/2006/relationships/image" Target="../media/image10.png"/><Relationship Id="rId17" Type="http://schemas.openxmlformats.org/officeDocument/2006/relationships/image" Target="../media/image15.jpeg"/><Relationship Id="rId2" Type="http://schemas.openxmlformats.org/officeDocument/2006/relationships/image" Target="../media/image2.png"/><Relationship Id="rId16" Type="http://schemas.openxmlformats.org/officeDocument/2006/relationships/image" Target="../media/image14.jpeg"/><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image" Target="../media/image9.png"/><Relationship Id="rId5" Type="http://schemas.microsoft.com/office/2007/relationships/hdphoto" Target="../media/hdphoto2.wdp"/><Relationship Id="rId15" Type="http://schemas.openxmlformats.org/officeDocument/2006/relationships/image" Target="../media/image13.png"/><Relationship Id="rId10" Type="http://schemas.openxmlformats.org/officeDocument/2006/relationships/image" Target="../media/image8.png"/><Relationship Id="rId19" Type="http://schemas.openxmlformats.org/officeDocument/2006/relationships/image" Target="../media/image17.jpeg"/><Relationship Id="rId4" Type="http://schemas.openxmlformats.org/officeDocument/2006/relationships/image" Target="../media/image3.png"/><Relationship Id="rId9" Type="http://schemas.openxmlformats.org/officeDocument/2006/relationships/image" Target="../media/image7.png"/><Relationship Id="rId14" Type="http://schemas.openxmlformats.org/officeDocument/2006/relationships/image" Target="../media/image12.jpeg"/></Relationships>
</file>

<file path=xl/drawings/drawing1.xml><?xml version="1.0" encoding="utf-8"?>
<xdr:wsDr xmlns:xdr="http://schemas.openxmlformats.org/drawingml/2006/spreadsheetDrawing" xmlns:a="http://schemas.openxmlformats.org/drawingml/2006/main">
  <xdr:twoCellAnchor editAs="oneCell">
    <xdr:from>
      <xdr:col>1</xdr:col>
      <xdr:colOff>2848</xdr:colOff>
      <xdr:row>3</xdr:row>
      <xdr:rowOff>25829</xdr:rowOff>
    </xdr:from>
    <xdr:to>
      <xdr:col>1</xdr:col>
      <xdr:colOff>851927</xdr:colOff>
      <xdr:row>5</xdr:row>
      <xdr:rowOff>173342</xdr:rowOff>
    </xdr:to>
    <xdr:pic>
      <xdr:nvPicPr>
        <xdr:cNvPr id="2" name="Imagem 1" descr="Descrição: Descrição: Descrição: Umoe Bioenergy logo">
          <a:extLst>
            <a:ext uri="{FF2B5EF4-FFF2-40B4-BE49-F238E27FC236}">
              <a16:creationId xmlns:a16="http://schemas.microsoft.com/office/drawing/2014/main" id="{29487001-6FF7-4615-9D2E-5F99302E1512}"/>
            </a:ext>
          </a:extLst>
        </xdr:cNvPr>
        <xdr:cNvPicPr/>
      </xdr:nvPicPr>
      <xdr:blipFill>
        <a:blip xmlns:r="http://schemas.openxmlformats.org/officeDocument/2006/relationships" r:embed="rId1">
          <a:alphaModFix amt="35000"/>
          <a:extLst>
            <a:ext uri="{28A0092B-C50C-407E-A947-70E740481C1C}">
              <a14:useLocalDpi xmlns:a14="http://schemas.microsoft.com/office/drawing/2010/main" val="0"/>
            </a:ext>
          </a:extLst>
        </a:blip>
        <a:srcRect/>
        <a:stretch>
          <a:fillRect/>
        </a:stretch>
      </xdr:blipFill>
      <xdr:spPr bwMode="auto">
        <a:xfrm>
          <a:off x="419567" y="263954"/>
          <a:ext cx="849079" cy="802357"/>
        </a:xfrm>
        <a:prstGeom prst="rect">
          <a:avLst/>
        </a:prstGeom>
        <a:noFill/>
        <a:ln>
          <a:noFill/>
        </a:ln>
      </xdr:spPr>
    </xdr:pic>
    <xdr:clientData/>
  </xdr:twoCellAnchor>
  <xdr:twoCellAnchor editAs="oneCell">
    <xdr:from>
      <xdr:col>6</xdr:col>
      <xdr:colOff>106016</xdr:colOff>
      <xdr:row>9</xdr:row>
      <xdr:rowOff>121919</xdr:rowOff>
    </xdr:from>
    <xdr:to>
      <xdr:col>6</xdr:col>
      <xdr:colOff>868031</xdr:colOff>
      <xdr:row>10</xdr:row>
      <xdr:rowOff>219551</xdr:rowOff>
    </xdr:to>
    <xdr:pic>
      <xdr:nvPicPr>
        <xdr:cNvPr id="6" name="Imagem 5" descr="Confira 16 opções de picapes e furgões para pegar no batente - Motor Show">
          <a:extLst>
            <a:ext uri="{FF2B5EF4-FFF2-40B4-BE49-F238E27FC236}">
              <a16:creationId xmlns:a16="http://schemas.microsoft.com/office/drawing/2014/main" id="{71B4B27F-15C9-4A47-98C7-BC3B5425EFBF}"/>
            </a:ext>
          </a:extLst>
        </xdr:cNvPr>
        <xdr:cNvPicPr>
          <a:picLocks noChangeAspect="1" noChangeArrowheads="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313" r="98906">
                      <a14:foregroundMark x1="10234" y1="41528" x2="10234" y2="41528"/>
                      <a14:foregroundMark x1="98984" y1="35694" x2="98984" y2="35694"/>
                      <a14:foregroundMark x1="313" y1="59028" x2="313" y2="59028"/>
                    </a14:backgroundRemoval>
                  </a14:imgEffect>
                </a14:imgLayer>
              </a14:imgProps>
            </a:ext>
            <a:ext uri="{28A0092B-C50C-407E-A947-70E740481C1C}">
              <a14:useLocalDpi xmlns:a14="http://schemas.microsoft.com/office/drawing/2010/main" val="0"/>
            </a:ext>
          </a:extLst>
        </a:blip>
        <a:srcRect/>
        <a:stretch>
          <a:fillRect/>
        </a:stretch>
      </xdr:blipFill>
      <xdr:spPr bwMode="auto">
        <a:xfrm>
          <a:off x="5388061" y="2269374"/>
          <a:ext cx="765190" cy="4061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51</xdr:col>
      <xdr:colOff>480967</xdr:colOff>
      <xdr:row>9</xdr:row>
      <xdr:rowOff>137412</xdr:rowOff>
    </xdr:from>
    <xdr:to>
      <xdr:col>51</xdr:col>
      <xdr:colOff>1208042</xdr:colOff>
      <xdr:row>10</xdr:row>
      <xdr:rowOff>219804</xdr:rowOff>
    </xdr:to>
    <xdr:pic>
      <xdr:nvPicPr>
        <xdr:cNvPr id="7" name="Imagem 6" descr="Confira 16 opções de picapes e furgões para pegar no batente - Motor Show">
          <a:extLst>
            <a:ext uri="{FF2B5EF4-FFF2-40B4-BE49-F238E27FC236}">
              <a16:creationId xmlns:a16="http://schemas.microsoft.com/office/drawing/2014/main" id="{294C91DD-C21D-4A37-80EF-83D828AECFE2}"/>
            </a:ext>
          </a:extLst>
        </xdr:cNvPr>
        <xdr:cNvPicPr>
          <a:picLocks noChangeAspect="1" noChangeArrowheads="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backgroundRemoval t="10000" b="90000" l="313" r="98906">
                      <a14:foregroundMark x1="10234" y1="41528" x2="10234" y2="41528"/>
                      <a14:foregroundMark x1="98984" y1="35694" x2="98984" y2="35694"/>
                      <a14:foregroundMark x1="313" y1="59028" x2="313" y2="59028"/>
                    </a14:backgroundRemoval>
                  </a14:imgEffect>
                </a14:imgLayer>
              </a14:imgProps>
            </a:ext>
            <a:ext uri="{28A0092B-C50C-407E-A947-70E740481C1C}">
              <a14:useLocalDpi xmlns:a14="http://schemas.microsoft.com/office/drawing/2010/main" val="0"/>
            </a:ext>
          </a:extLst>
        </a:blip>
        <a:srcRect/>
        <a:stretch>
          <a:fillRect/>
        </a:stretch>
      </xdr:blipFill>
      <xdr:spPr bwMode="auto">
        <a:xfrm>
          <a:off x="35185585" y="2277736"/>
          <a:ext cx="727075" cy="3961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52</xdr:col>
      <xdr:colOff>69774</xdr:colOff>
      <xdr:row>4</xdr:row>
      <xdr:rowOff>134766</xdr:rowOff>
    </xdr:from>
    <xdr:to>
      <xdr:col>53</xdr:col>
      <xdr:colOff>143138</xdr:colOff>
      <xdr:row>5</xdr:row>
      <xdr:rowOff>228429</xdr:rowOff>
    </xdr:to>
    <xdr:pic>
      <xdr:nvPicPr>
        <xdr:cNvPr id="8" name="Imagem 7" descr="Confira 16 opções de picapes e furgões para pegar no batente - Motor Show">
          <a:extLst>
            <a:ext uri="{FF2B5EF4-FFF2-40B4-BE49-F238E27FC236}">
              <a16:creationId xmlns:a16="http://schemas.microsoft.com/office/drawing/2014/main" id="{6DF9508A-40B4-4439-85B7-20E62B3918E2}"/>
            </a:ext>
          </a:extLst>
        </xdr:cNvPr>
        <xdr:cNvPicPr>
          <a:picLocks noChangeAspect="1" noChangeArrowheads="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313" r="98906">
                      <a14:foregroundMark x1="10234" y1="41528" x2="10234" y2="41528"/>
                      <a14:foregroundMark x1="98984" y1="35694" x2="98984" y2="35694"/>
                      <a14:foregroundMark x1="313" y1="59028" x2="313" y2="59028"/>
                    </a14:backgroundRemoval>
                  </a14:imgEffect>
                </a14:imgLayer>
              </a14:imgProps>
            </a:ext>
            <a:ext uri="{28A0092B-C50C-407E-A947-70E740481C1C}">
              <a14:useLocalDpi xmlns:a14="http://schemas.microsoft.com/office/drawing/2010/main" val="0"/>
            </a:ext>
          </a:extLst>
        </a:blip>
        <a:srcRect/>
        <a:stretch>
          <a:fillRect/>
        </a:stretch>
      </xdr:blipFill>
      <xdr:spPr bwMode="auto">
        <a:xfrm>
          <a:off x="37743950" y="728678"/>
          <a:ext cx="745717" cy="385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63</xdr:col>
      <xdr:colOff>496355</xdr:colOff>
      <xdr:row>26</xdr:row>
      <xdr:rowOff>190212</xdr:rowOff>
    </xdr:from>
    <xdr:to>
      <xdr:col>63</xdr:col>
      <xdr:colOff>1222184</xdr:colOff>
      <xdr:row>29</xdr:row>
      <xdr:rowOff>2673</xdr:rowOff>
    </xdr:to>
    <xdr:pic>
      <xdr:nvPicPr>
        <xdr:cNvPr id="10" name="Imagem 9" descr="Confira 16 opções de picapes e furgões para pegar no batente - Motor Show">
          <a:extLst>
            <a:ext uri="{FF2B5EF4-FFF2-40B4-BE49-F238E27FC236}">
              <a16:creationId xmlns:a16="http://schemas.microsoft.com/office/drawing/2014/main" id="{A8AD617D-A3AA-4124-8D07-66B3ECB232D7}"/>
            </a:ext>
          </a:extLst>
        </xdr:cNvPr>
        <xdr:cNvPicPr>
          <a:picLocks noChangeAspect="1" noChangeArrowheads="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313" r="98906">
                      <a14:foregroundMark x1="10234" y1="41528" x2="10234" y2="41528"/>
                      <a14:foregroundMark x1="98984" y1="35694" x2="98984" y2="35694"/>
                      <a14:foregroundMark x1="313" y1="59028" x2="313" y2="59028"/>
                    </a14:backgroundRemoval>
                  </a14:imgEffect>
                </a14:imgLayer>
              </a14:imgProps>
            </a:ext>
            <a:ext uri="{28A0092B-C50C-407E-A947-70E740481C1C}">
              <a14:useLocalDpi xmlns:a14="http://schemas.microsoft.com/office/drawing/2010/main" val="0"/>
            </a:ext>
          </a:extLst>
        </a:blip>
        <a:srcRect/>
        <a:stretch>
          <a:fillRect/>
        </a:stretch>
      </xdr:blipFill>
      <xdr:spPr bwMode="auto">
        <a:xfrm>
          <a:off x="45228136" y="7905462"/>
          <a:ext cx="725829" cy="4315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854871</xdr:colOff>
      <xdr:row>13</xdr:row>
      <xdr:rowOff>210228</xdr:rowOff>
    </xdr:from>
    <xdr:to>
      <xdr:col>3</xdr:col>
      <xdr:colOff>503807</xdr:colOff>
      <xdr:row>14</xdr:row>
      <xdr:rowOff>373740</xdr:rowOff>
    </xdr:to>
    <xdr:pic>
      <xdr:nvPicPr>
        <xdr:cNvPr id="11" name="Imagem 10" descr="Confira 16 opções de picapes e furgões para pegar no batente - Motor Show">
          <a:extLst>
            <a:ext uri="{FF2B5EF4-FFF2-40B4-BE49-F238E27FC236}">
              <a16:creationId xmlns:a16="http://schemas.microsoft.com/office/drawing/2014/main" id="{B958492C-4104-4EE6-A06B-AFA4039EC474}"/>
            </a:ext>
          </a:extLst>
        </xdr:cNvPr>
        <xdr:cNvPicPr>
          <a:picLocks noChangeAspect="1" noChangeArrowheads="1"/>
        </xdr:cNvPicPr>
      </xdr:nvPicPr>
      <xdr:blipFill>
        <a:blip xmlns:r="http://schemas.openxmlformats.org/officeDocument/2006/relationships" r:embed="rId6" cstate="print">
          <a:extLst>
            <a:ext uri="{BEBA8EAE-BF5A-486C-A8C5-ECC9F3942E4B}">
              <a14:imgProps xmlns:a14="http://schemas.microsoft.com/office/drawing/2010/main">
                <a14:imgLayer r:embed="rId3">
                  <a14:imgEffect>
                    <a14:backgroundRemoval t="10000" b="90000" l="313" r="98906">
                      <a14:foregroundMark x1="10234" y1="41528" x2="10234" y2="41528"/>
                      <a14:foregroundMark x1="98984" y1="35694" x2="98984" y2="35694"/>
                      <a14:foregroundMark x1="313" y1="59028" x2="313" y2="59028"/>
                    </a14:backgroundRemoval>
                  </a14:imgEffect>
                </a14:imgLayer>
              </a14:imgProps>
            </a:ext>
            <a:ext uri="{28A0092B-C50C-407E-A947-70E740481C1C}">
              <a14:useLocalDpi xmlns:a14="http://schemas.microsoft.com/office/drawing/2010/main" val="0"/>
            </a:ext>
          </a:extLst>
        </a:blip>
        <a:srcRect/>
        <a:stretch>
          <a:fillRect/>
        </a:stretch>
      </xdr:blipFill>
      <xdr:spPr bwMode="auto">
        <a:xfrm>
          <a:off x="2297228" y="3584799"/>
          <a:ext cx="723900" cy="4020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1123260</xdr:colOff>
      <xdr:row>13</xdr:row>
      <xdr:rowOff>227352</xdr:rowOff>
    </xdr:from>
    <xdr:to>
      <xdr:col>7</xdr:col>
      <xdr:colOff>574015</xdr:colOff>
      <xdr:row>14</xdr:row>
      <xdr:rowOff>399754</xdr:rowOff>
    </xdr:to>
    <xdr:pic>
      <xdr:nvPicPr>
        <xdr:cNvPr id="12" name="Imagem 11" descr="Confira 16 opções de picapes e furgões para pegar no batente - Motor Show">
          <a:extLst>
            <a:ext uri="{FF2B5EF4-FFF2-40B4-BE49-F238E27FC236}">
              <a16:creationId xmlns:a16="http://schemas.microsoft.com/office/drawing/2014/main" id="{48B98640-7619-40D2-AC27-5366814DF026}"/>
            </a:ext>
          </a:extLst>
        </xdr:cNvPr>
        <xdr:cNvPicPr>
          <a:picLocks noChangeAspect="1" noChangeArrowheads="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313" r="98906">
                      <a14:foregroundMark x1="10234" y1="41528" x2="10234" y2="41528"/>
                      <a14:foregroundMark x1="98984" y1="35694" x2="98984" y2="35694"/>
                      <a14:foregroundMark x1="313" y1="59028" x2="313" y2="59028"/>
                    </a14:backgroundRemoval>
                  </a14:imgEffect>
                </a14:imgLayer>
              </a14:imgProps>
            </a:ext>
            <a:ext uri="{28A0092B-C50C-407E-A947-70E740481C1C}">
              <a14:useLocalDpi xmlns:a14="http://schemas.microsoft.com/office/drawing/2010/main" val="0"/>
            </a:ext>
          </a:extLst>
        </a:blip>
        <a:srcRect/>
        <a:stretch>
          <a:fillRect/>
        </a:stretch>
      </xdr:blipFill>
      <xdr:spPr bwMode="auto">
        <a:xfrm>
          <a:off x="6432412" y="3598374"/>
          <a:ext cx="768664" cy="4291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637494</xdr:colOff>
      <xdr:row>13</xdr:row>
      <xdr:rowOff>237386</xdr:rowOff>
    </xdr:from>
    <xdr:to>
      <xdr:col>22</xdr:col>
      <xdr:colOff>83776</xdr:colOff>
      <xdr:row>14</xdr:row>
      <xdr:rowOff>393278</xdr:rowOff>
    </xdr:to>
    <xdr:pic>
      <xdr:nvPicPr>
        <xdr:cNvPr id="13" name="Imagem 12" descr="Confira 16 opções de picapes e furgões para pegar no batente - Motor Show">
          <a:extLst>
            <a:ext uri="{FF2B5EF4-FFF2-40B4-BE49-F238E27FC236}">
              <a16:creationId xmlns:a16="http://schemas.microsoft.com/office/drawing/2014/main" id="{E01C1B09-61ED-4ED3-8DC2-61C802ADA2C6}"/>
            </a:ext>
          </a:extLst>
        </xdr:cNvPr>
        <xdr:cNvPicPr>
          <a:picLocks noChangeAspect="1" noChangeArrowheads="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313" r="98906">
                      <a14:foregroundMark x1="10234" y1="41528" x2="10234" y2="41528"/>
                      <a14:foregroundMark x1="98984" y1="35694" x2="98984" y2="35694"/>
                      <a14:foregroundMark x1="313" y1="59028" x2="313" y2="59028"/>
                    </a14:backgroundRemoval>
                  </a14:imgEffect>
                </a14:imgLayer>
              </a14:imgProps>
            </a:ext>
            <a:ext uri="{28A0092B-C50C-407E-A947-70E740481C1C}">
              <a14:useLocalDpi xmlns:a14="http://schemas.microsoft.com/office/drawing/2010/main" val="0"/>
            </a:ext>
          </a:extLst>
        </a:blip>
        <a:srcRect/>
        <a:stretch>
          <a:fillRect/>
        </a:stretch>
      </xdr:blipFill>
      <xdr:spPr bwMode="auto">
        <a:xfrm>
          <a:off x="12493318" y="3587945"/>
          <a:ext cx="715724" cy="3960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1059863</xdr:colOff>
      <xdr:row>13</xdr:row>
      <xdr:rowOff>240634</xdr:rowOff>
    </xdr:from>
    <xdr:to>
      <xdr:col>13</xdr:col>
      <xdr:colOff>504735</xdr:colOff>
      <xdr:row>14</xdr:row>
      <xdr:rowOff>400971</xdr:rowOff>
    </xdr:to>
    <xdr:pic>
      <xdr:nvPicPr>
        <xdr:cNvPr id="14" name="Imagem 13" descr="Confira 16 opções de picapes e furgões para pegar no batente - Motor Show">
          <a:extLst>
            <a:ext uri="{FF2B5EF4-FFF2-40B4-BE49-F238E27FC236}">
              <a16:creationId xmlns:a16="http://schemas.microsoft.com/office/drawing/2014/main" id="{6708A0D8-46D9-4C3D-9C1E-B9632ABABC94}"/>
            </a:ext>
          </a:extLst>
        </xdr:cNvPr>
        <xdr:cNvPicPr>
          <a:picLocks noChangeAspect="1" noChangeArrowheads="1"/>
        </xdr:cNvPicPr>
      </xdr:nvPicPr>
      <xdr:blipFill>
        <a:blip xmlns:r="http://schemas.openxmlformats.org/officeDocument/2006/relationships" r:embed="rId6" cstate="print">
          <a:extLst>
            <a:ext uri="{BEBA8EAE-BF5A-486C-A8C5-ECC9F3942E4B}">
              <a14:imgProps xmlns:a14="http://schemas.microsoft.com/office/drawing/2010/main">
                <a14:imgLayer r:embed="rId3">
                  <a14:imgEffect>
                    <a14:backgroundRemoval t="10000" b="90000" l="313" r="98906">
                      <a14:foregroundMark x1="10234" y1="41528" x2="10234" y2="41528"/>
                      <a14:foregroundMark x1="98984" y1="35694" x2="98984" y2="35694"/>
                      <a14:foregroundMark x1="313" y1="59028" x2="313" y2="59028"/>
                    </a14:backgroundRemoval>
                  </a14:imgEffect>
                </a14:imgLayer>
              </a14:imgProps>
            </a:ext>
            <a:ext uri="{28A0092B-C50C-407E-A947-70E740481C1C}">
              <a14:useLocalDpi xmlns:a14="http://schemas.microsoft.com/office/drawing/2010/main" val="0"/>
            </a:ext>
          </a:extLst>
        </a:blip>
        <a:srcRect/>
        <a:stretch>
          <a:fillRect/>
        </a:stretch>
      </xdr:blipFill>
      <xdr:spPr bwMode="auto">
        <a:xfrm>
          <a:off x="8373406" y="3611656"/>
          <a:ext cx="763536" cy="4170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1109106</xdr:colOff>
      <xdr:row>9</xdr:row>
      <xdr:rowOff>75407</xdr:rowOff>
    </xdr:from>
    <xdr:to>
      <xdr:col>7</xdr:col>
      <xdr:colOff>591670</xdr:colOff>
      <xdr:row>10</xdr:row>
      <xdr:rowOff>221858</xdr:rowOff>
    </xdr:to>
    <xdr:pic>
      <xdr:nvPicPr>
        <xdr:cNvPr id="15" name="Imagem 14" descr="CURSO COMPLETO DE OPERADOR DE CAMINHÃO MUNCK ONLINE - Grupo CPV Treinamentos">
          <a:extLst>
            <a:ext uri="{FF2B5EF4-FFF2-40B4-BE49-F238E27FC236}">
              <a16:creationId xmlns:a16="http://schemas.microsoft.com/office/drawing/2014/main" id="{3F85A1FB-EC6D-4AC7-BDFE-8BC0DDE12C96}"/>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6090" r="10257" b="4762"/>
        <a:stretch/>
      </xdr:blipFill>
      <xdr:spPr bwMode="auto">
        <a:xfrm flipH="1">
          <a:off x="6391151" y="2222862"/>
          <a:ext cx="799884" cy="4550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667507</xdr:colOff>
      <xdr:row>20</xdr:row>
      <xdr:rowOff>589934</xdr:rowOff>
    </xdr:from>
    <xdr:to>
      <xdr:col>12</xdr:col>
      <xdr:colOff>1304586</xdr:colOff>
      <xdr:row>21</xdr:row>
      <xdr:rowOff>362659</xdr:rowOff>
    </xdr:to>
    <xdr:pic>
      <xdr:nvPicPr>
        <xdr:cNvPr id="16" name="Imagem 15" descr="CARRO OFICINA ANDRADE">
          <a:extLst>
            <a:ext uri="{FF2B5EF4-FFF2-40B4-BE49-F238E27FC236}">
              <a16:creationId xmlns:a16="http://schemas.microsoft.com/office/drawing/2014/main" id="{DE048FC2-F223-4A3D-B6F3-D46CAA555ADC}"/>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11374" t="2434" r="10875" b="2060"/>
        <a:stretch/>
      </xdr:blipFill>
      <xdr:spPr bwMode="auto">
        <a:xfrm>
          <a:off x="9934772" y="6013581"/>
          <a:ext cx="640254" cy="5123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254225</xdr:colOff>
      <xdr:row>20</xdr:row>
      <xdr:rowOff>582675</xdr:rowOff>
    </xdr:from>
    <xdr:ext cx="638922" cy="523875"/>
    <xdr:pic>
      <xdr:nvPicPr>
        <xdr:cNvPr id="18" name="Imagem 17" descr="CARRO OFICINA ANDRADE">
          <a:extLst>
            <a:ext uri="{FF2B5EF4-FFF2-40B4-BE49-F238E27FC236}">
              <a16:creationId xmlns:a16="http://schemas.microsoft.com/office/drawing/2014/main" id="{A681A293-CACE-4F18-B9BD-EFF2EF342BD3}"/>
            </a:ext>
          </a:extLst>
        </xdr:cNvPr>
        <xdr:cNvPicPr>
          <a:picLocks noChangeAspect="1" noChangeArrowheads="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11374" t="2434" r="10875" b="2060"/>
        <a:stretch/>
      </xdr:blipFill>
      <xdr:spPr bwMode="auto">
        <a:xfrm>
          <a:off x="5563377" y="6016066"/>
          <a:ext cx="638922" cy="5238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256989</xdr:colOff>
      <xdr:row>20</xdr:row>
      <xdr:rowOff>293484</xdr:rowOff>
    </xdr:from>
    <xdr:ext cx="551794" cy="452436"/>
    <xdr:pic>
      <xdr:nvPicPr>
        <xdr:cNvPr id="19" name="Imagem 18" descr="CARRO OFICINA ANDRADE">
          <a:extLst>
            <a:ext uri="{FF2B5EF4-FFF2-40B4-BE49-F238E27FC236}">
              <a16:creationId xmlns:a16="http://schemas.microsoft.com/office/drawing/2014/main" id="{746EAC90-00D7-4F2A-A5CE-3281537CB74D}"/>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11374" t="2434" r="10875" b="2060"/>
        <a:stretch/>
      </xdr:blipFill>
      <xdr:spPr bwMode="auto">
        <a:xfrm>
          <a:off x="651596" y="5722734"/>
          <a:ext cx="551794" cy="4524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296976</xdr:colOff>
      <xdr:row>20</xdr:row>
      <xdr:rowOff>290794</xdr:rowOff>
    </xdr:from>
    <xdr:ext cx="551794" cy="452436"/>
    <xdr:pic>
      <xdr:nvPicPr>
        <xdr:cNvPr id="20" name="Imagem 19" descr="CARRO OFICINA ANDRADE">
          <a:extLst>
            <a:ext uri="{FF2B5EF4-FFF2-40B4-BE49-F238E27FC236}">
              <a16:creationId xmlns:a16="http://schemas.microsoft.com/office/drawing/2014/main" id="{5B49C6C0-C828-4D57-B008-EB169E8CB6B6}"/>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11374" t="2434" r="10875" b="2060"/>
        <a:stretch/>
      </xdr:blipFill>
      <xdr:spPr bwMode="auto">
        <a:xfrm>
          <a:off x="1739333" y="5720044"/>
          <a:ext cx="551794" cy="4524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274184</xdr:colOff>
      <xdr:row>20</xdr:row>
      <xdr:rowOff>273104</xdr:rowOff>
    </xdr:from>
    <xdr:ext cx="551794" cy="452436"/>
    <xdr:pic>
      <xdr:nvPicPr>
        <xdr:cNvPr id="21" name="Imagem 20" descr="CARRO OFICINA ANDRADE">
          <a:extLst>
            <a:ext uri="{FF2B5EF4-FFF2-40B4-BE49-F238E27FC236}">
              <a16:creationId xmlns:a16="http://schemas.microsoft.com/office/drawing/2014/main" id="{8EC108FC-EF7D-4364-B762-C8B15299E9CD}"/>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11374" t="2434" r="10875" b="2060"/>
        <a:stretch/>
      </xdr:blipFill>
      <xdr:spPr bwMode="auto">
        <a:xfrm>
          <a:off x="2791505" y="5702354"/>
          <a:ext cx="551794" cy="4524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xdr:col>
      <xdr:colOff>690289</xdr:colOff>
      <xdr:row>24</xdr:row>
      <xdr:rowOff>248238</xdr:rowOff>
    </xdr:from>
    <xdr:to>
      <xdr:col>3</xdr:col>
      <xdr:colOff>296617</xdr:colOff>
      <xdr:row>25</xdr:row>
      <xdr:rowOff>27576</xdr:rowOff>
    </xdr:to>
    <xdr:pic>
      <xdr:nvPicPr>
        <xdr:cNvPr id="26" name="Imagem 25" descr="Confira 16 opções de picapes e furgões para pegar no batente - Motor Show">
          <a:extLst>
            <a:ext uri="{FF2B5EF4-FFF2-40B4-BE49-F238E27FC236}">
              <a16:creationId xmlns:a16="http://schemas.microsoft.com/office/drawing/2014/main" id="{765E2BB2-35CF-4EC7-A8E6-6B8373F6F380}"/>
            </a:ext>
          </a:extLst>
        </xdr:cNvPr>
        <xdr:cNvPicPr>
          <a:picLocks noChangeAspect="1" noChangeArrowheads="1"/>
        </xdr:cNvPicPr>
      </xdr:nvPicPr>
      <xdr:blipFill>
        <a:blip xmlns:r="http://schemas.openxmlformats.org/officeDocument/2006/relationships" r:embed="rId6" cstate="print">
          <a:extLst>
            <a:ext uri="{BEBA8EAE-BF5A-486C-A8C5-ECC9F3942E4B}">
              <a14:imgProps xmlns:a14="http://schemas.microsoft.com/office/drawing/2010/main">
                <a14:imgLayer r:embed="rId3">
                  <a14:imgEffect>
                    <a14:backgroundRemoval t="10000" b="90000" l="313" r="98906">
                      <a14:foregroundMark x1="10234" y1="41528" x2="10234" y2="41528"/>
                      <a14:foregroundMark x1="98984" y1="35694" x2="98984" y2="35694"/>
                      <a14:foregroundMark x1="313" y1="59028" x2="313" y2="59028"/>
                    </a14:backgroundRemoval>
                  </a14:imgEffect>
                </a14:imgLayer>
              </a14:imgProps>
            </a:ext>
            <a:ext uri="{28A0092B-C50C-407E-A947-70E740481C1C}">
              <a14:useLocalDpi xmlns:a14="http://schemas.microsoft.com/office/drawing/2010/main" val="0"/>
            </a:ext>
          </a:extLst>
        </a:blip>
        <a:srcRect/>
        <a:stretch>
          <a:fillRect/>
        </a:stretch>
      </xdr:blipFill>
      <xdr:spPr bwMode="auto">
        <a:xfrm>
          <a:off x="2363376" y="7180781"/>
          <a:ext cx="734695" cy="4170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1058879</xdr:colOff>
      <xdr:row>29</xdr:row>
      <xdr:rowOff>331031</xdr:rowOff>
    </xdr:from>
    <xdr:to>
      <xdr:col>4</xdr:col>
      <xdr:colOff>818545</xdr:colOff>
      <xdr:row>31</xdr:row>
      <xdr:rowOff>10632</xdr:rowOff>
    </xdr:to>
    <xdr:pic>
      <xdr:nvPicPr>
        <xdr:cNvPr id="33" name="Imagem 32" descr="Caminhão Comboio a Venda Direto da Fábrica">
          <a:extLst>
            <a:ext uri="{FF2B5EF4-FFF2-40B4-BE49-F238E27FC236}">
              <a16:creationId xmlns:a16="http://schemas.microsoft.com/office/drawing/2014/main" id="{BF6F7905-655F-45EA-AD48-9500DFD3EB55}"/>
            </a:ext>
          </a:extLst>
        </xdr:cNvPr>
        <xdr:cNvPicPr>
          <a:picLocks noChangeAspect="1" noChangeArrowheads="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t="17750" b="16501"/>
        <a:stretch/>
      </xdr:blipFill>
      <xdr:spPr bwMode="auto">
        <a:xfrm>
          <a:off x="3866683" y="8721314"/>
          <a:ext cx="894384" cy="5534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577927</xdr:colOff>
      <xdr:row>29</xdr:row>
      <xdr:rowOff>306199</xdr:rowOff>
    </xdr:from>
    <xdr:to>
      <xdr:col>2</xdr:col>
      <xdr:colOff>217226</xdr:colOff>
      <xdr:row>31</xdr:row>
      <xdr:rowOff>10255</xdr:rowOff>
    </xdr:to>
    <xdr:pic>
      <xdr:nvPicPr>
        <xdr:cNvPr id="34" name="Imagem 33" descr="Caminhão Comboio a Venda Direto da Fábrica">
          <a:extLst>
            <a:ext uri="{FF2B5EF4-FFF2-40B4-BE49-F238E27FC236}">
              <a16:creationId xmlns:a16="http://schemas.microsoft.com/office/drawing/2014/main" id="{9C42FC05-8C89-4213-86C8-9A9753FE02FD}"/>
            </a:ext>
          </a:extLst>
        </xdr:cNvPr>
        <xdr:cNvPicPr>
          <a:picLocks noChangeAspect="1" noChangeArrowheads="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t="17750" b="16501"/>
        <a:stretch/>
      </xdr:blipFill>
      <xdr:spPr bwMode="auto">
        <a:xfrm>
          <a:off x="1000340" y="8696482"/>
          <a:ext cx="889973" cy="5902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666526</xdr:colOff>
      <xdr:row>29</xdr:row>
      <xdr:rowOff>303427</xdr:rowOff>
    </xdr:from>
    <xdr:to>
      <xdr:col>10</xdr:col>
      <xdr:colOff>241241</xdr:colOff>
      <xdr:row>30</xdr:row>
      <xdr:rowOff>226708</xdr:rowOff>
    </xdr:to>
    <xdr:pic>
      <xdr:nvPicPr>
        <xdr:cNvPr id="39" name="Imagem 38" descr="Caminhão Comboio a Venda Direto da Fábrica">
          <a:extLst>
            <a:ext uri="{FF2B5EF4-FFF2-40B4-BE49-F238E27FC236}">
              <a16:creationId xmlns:a16="http://schemas.microsoft.com/office/drawing/2014/main" id="{5DC68C89-09C1-43A6-957B-7EEA5113345B}"/>
            </a:ext>
          </a:extLst>
        </xdr:cNvPr>
        <xdr:cNvPicPr>
          <a:picLocks noChangeAspect="1" noChangeArrowheads="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t="17750" b="16501"/>
        <a:stretch/>
      </xdr:blipFill>
      <xdr:spPr bwMode="auto">
        <a:xfrm>
          <a:off x="7860702" y="8674221"/>
          <a:ext cx="879454" cy="562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63</xdr:col>
      <xdr:colOff>115639</xdr:colOff>
      <xdr:row>32</xdr:row>
      <xdr:rowOff>177410</xdr:rowOff>
    </xdr:from>
    <xdr:to>
      <xdr:col>63</xdr:col>
      <xdr:colOff>973081</xdr:colOff>
      <xdr:row>35</xdr:row>
      <xdr:rowOff>111246</xdr:rowOff>
    </xdr:to>
    <xdr:pic>
      <xdr:nvPicPr>
        <xdr:cNvPr id="40" name="Imagem 39" descr="Confira 16 opções de picapes e furgões para pegar no batente - Motor Show">
          <a:extLst>
            <a:ext uri="{FF2B5EF4-FFF2-40B4-BE49-F238E27FC236}">
              <a16:creationId xmlns:a16="http://schemas.microsoft.com/office/drawing/2014/main" id="{794BE6DA-E7C1-4E2D-BBEF-6D8EDBFA91EA}"/>
            </a:ext>
          </a:extLst>
        </xdr:cNvPr>
        <xdr:cNvPicPr>
          <a:picLocks noChangeAspect="1" noChangeArrowheads="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313" r="98906">
                      <a14:foregroundMark x1="10234" y1="41528" x2="10234" y2="41528"/>
                      <a14:foregroundMark x1="98984" y1="35694" x2="98984" y2="35694"/>
                      <a14:foregroundMark x1="313" y1="59028" x2="313" y2="59028"/>
                    </a14:backgroundRemoval>
                  </a14:imgEffect>
                </a14:imgLayer>
              </a14:imgProps>
            </a:ext>
            <a:ext uri="{28A0092B-C50C-407E-A947-70E740481C1C}">
              <a14:useLocalDpi xmlns:a14="http://schemas.microsoft.com/office/drawing/2010/main" val="0"/>
            </a:ext>
          </a:extLst>
        </a:blip>
        <a:srcRect/>
        <a:stretch>
          <a:fillRect/>
        </a:stretch>
      </xdr:blipFill>
      <xdr:spPr bwMode="auto">
        <a:xfrm>
          <a:off x="28347739" y="9645260"/>
          <a:ext cx="854267" cy="4291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45</xdr:col>
      <xdr:colOff>71196</xdr:colOff>
      <xdr:row>32</xdr:row>
      <xdr:rowOff>63616</xdr:rowOff>
    </xdr:from>
    <xdr:to>
      <xdr:col>45</xdr:col>
      <xdr:colOff>907306</xdr:colOff>
      <xdr:row>35</xdr:row>
      <xdr:rowOff>162097</xdr:rowOff>
    </xdr:to>
    <xdr:pic>
      <xdr:nvPicPr>
        <xdr:cNvPr id="41" name="Imagem 40" descr="Tratores Puma 200, 215, 230 - Bugio Tratores">
          <a:extLst>
            <a:ext uri="{FF2B5EF4-FFF2-40B4-BE49-F238E27FC236}">
              <a16:creationId xmlns:a16="http://schemas.microsoft.com/office/drawing/2014/main" id="{344B7074-0663-4703-B71E-B9BC1A17CB28}"/>
            </a:ext>
          </a:extLst>
        </xdr:cNvPr>
        <xdr:cNvPicPr>
          <a:picLocks noChangeAspect="1" noChangeArrowheads="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l="1739" t="7650" r="2398"/>
        <a:stretch/>
      </xdr:blipFill>
      <xdr:spPr bwMode="auto">
        <a:xfrm>
          <a:off x="17616246" y="9531466"/>
          <a:ext cx="823410" cy="587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92309</xdr:colOff>
      <xdr:row>49</xdr:row>
      <xdr:rowOff>7795</xdr:rowOff>
    </xdr:from>
    <xdr:to>
      <xdr:col>1</xdr:col>
      <xdr:colOff>892927</xdr:colOff>
      <xdr:row>52</xdr:row>
      <xdr:rowOff>112335</xdr:rowOff>
    </xdr:to>
    <xdr:pic>
      <xdr:nvPicPr>
        <xdr:cNvPr id="42" name="Imagem 41" descr="Colheitadeira – A8810 Multi-Row – Risa Máquinas">
          <a:extLst>
            <a:ext uri="{FF2B5EF4-FFF2-40B4-BE49-F238E27FC236}">
              <a16:creationId xmlns:a16="http://schemas.microsoft.com/office/drawing/2014/main" id="{55FBCDCE-4D9C-4B1C-BBAA-8DA719E3D974}"/>
            </a:ext>
          </a:extLst>
        </xdr:cNvPr>
        <xdr:cNvPicPr>
          <a:picLocks noChangeAspect="1" noChangeArrowheads="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1815" t="21682" r="7290" b="14876"/>
        <a:stretch/>
      </xdr:blipFill>
      <xdr:spPr bwMode="auto">
        <a:xfrm>
          <a:off x="492359" y="12552220"/>
          <a:ext cx="800618" cy="561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39356</xdr:colOff>
      <xdr:row>32</xdr:row>
      <xdr:rowOff>65147</xdr:rowOff>
    </xdr:from>
    <xdr:to>
      <xdr:col>36</xdr:col>
      <xdr:colOff>973581</xdr:colOff>
      <xdr:row>35</xdr:row>
      <xdr:rowOff>171077</xdr:rowOff>
    </xdr:to>
    <xdr:pic>
      <xdr:nvPicPr>
        <xdr:cNvPr id="43" name="Imagem 42" descr="Volvo VM 270 8×4 R - Blog do Caminhoneiro">
          <a:extLst>
            <a:ext uri="{FF2B5EF4-FFF2-40B4-BE49-F238E27FC236}">
              <a16:creationId xmlns:a16="http://schemas.microsoft.com/office/drawing/2014/main" id="{B726C479-E792-4CDA-B63D-5BBEDFA02530}"/>
            </a:ext>
          </a:extLst>
        </xdr:cNvPr>
        <xdr:cNvPicPr>
          <a:picLocks noChangeAspect="1" noChangeArrowheads="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t="3704" r="3902" b="7148"/>
        <a:stretch/>
      </xdr:blipFill>
      <xdr:spPr bwMode="auto">
        <a:xfrm>
          <a:off x="13136231" y="9532997"/>
          <a:ext cx="931050" cy="601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117418</xdr:colOff>
      <xdr:row>53</xdr:row>
      <xdr:rowOff>34637</xdr:rowOff>
    </xdr:from>
    <xdr:to>
      <xdr:col>1</xdr:col>
      <xdr:colOff>855345</xdr:colOff>
      <xdr:row>56</xdr:row>
      <xdr:rowOff>105193</xdr:rowOff>
    </xdr:to>
    <xdr:pic>
      <xdr:nvPicPr>
        <xdr:cNvPr id="44" name="Imagem 43" descr="Tratores Puma 200, 215, 230 - Bugio Tratores">
          <a:extLst>
            <a:ext uri="{FF2B5EF4-FFF2-40B4-BE49-F238E27FC236}">
              <a16:creationId xmlns:a16="http://schemas.microsoft.com/office/drawing/2014/main" id="{23995079-35EA-4467-BCAD-2D7821523D54}"/>
            </a:ext>
          </a:extLst>
        </xdr:cNvPr>
        <xdr:cNvPicPr>
          <a:picLocks noChangeAspect="1" noChangeArrowheads="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1739" t="7650" r="2398"/>
        <a:stretch/>
      </xdr:blipFill>
      <xdr:spPr bwMode="auto">
        <a:xfrm>
          <a:off x="517468" y="13188662"/>
          <a:ext cx="737927" cy="5214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182956</xdr:colOff>
      <xdr:row>56</xdr:row>
      <xdr:rowOff>131962</xdr:rowOff>
    </xdr:from>
    <xdr:to>
      <xdr:col>1</xdr:col>
      <xdr:colOff>818013</xdr:colOff>
      <xdr:row>60</xdr:row>
      <xdr:rowOff>16995</xdr:rowOff>
    </xdr:to>
    <xdr:pic>
      <xdr:nvPicPr>
        <xdr:cNvPr id="45" name="Imagem 44" descr="Produto">
          <a:extLst>
            <a:ext uri="{FF2B5EF4-FFF2-40B4-BE49-F238E27FC236}">
              <a16:creationId xmlns:a16="http://schemas.microsoft.com/office/drawing/2014/main" id="{83578586-D99D-4AEB-9BF7-1BB37ED59D54}"/>
            </a:ext>
          </a:extLst>
        </xdr:cNvPr>
        <xdr:cNvPicPr>
          <a:picLocks noChangeAspect="1" noChangeArrowheads="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rcRect l="23351"/>
        <a:stretch/>
      </xdr:blipFill>
      <xdr:spPr bwMode="auto">
        <a:xfrm>
          <a:off x="583006" y="13743187"/>
          <a:ext cx="635057" cy="4946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1052497</xdr:colOff>
      <xdr:row>24</xdr:row>
      <xdr:rowOff>462912</xdr:rowOff>
    </xdr:from>
    <xdr:to>
      <xdr:col>7</xdr:col>
      <xdr:colOff>493559</xdr:colOff>
      <xdr:row>26</xdr:row>
      <xdr:rowOff>17617</xdr:rowOff>
    </xdr:to>
    <xdr:pic>
      <xdr:nvPicPr>
        <xdr:cNvPr id="46" name="Imagem 45" descr="Confira 16 opções de picapes e furgões para pegar no batente - Motor Show">
          <a:extLst>
            <a:ext uri="{FF2B5EF4-FFF2-40B4-BE49-F238E27FC236}">
              <a16:creationId xmlns:a16="http://schemas.microsoft.com/office/drawing/2014/main" id="{2A0626C4-281A-4A7C-BBE6-38DA0F20AF5F}"/>
            </a:ext>
          </a:extLst>
        </xdr:cNvPr>
        <xdr:cNvPicPr>
          <a:picLocks noChangeAspect="1" noChangeArrowheads="1"/>
        </xdr:cNvPicPr>
      </xdr:nvPicPr>
      <xdr:blipFill>
        <a:blip xmlns:r="http://schemas.openxmlformats.org/officeDocument/2006/relationships" r:embed="rId6" cstate="print">
          <a:extLst>
            <a:ext uri="{BEBA8EAE-BF5A-486C-A8C5-ECC9F3942E4B}">
              <a14:imgProps xmlns:a14="http://schemas.microsoft.com/office/drawing/2010/main">
                <a14:imgLayer r:embed="rId3">
                  <a14:imgEffect>
                    <a14:backgroundRemoval t="10000" b="90000" l="313" r="98906">
                      <a14:foregroundMark x1="10234" y1="41528" x2="10234" y2="41528"/>
                      <a14:foregroundMark x1="98984" y1="35694" x2="98984" y2="35694"/>
                      <a14:foregroundMark x1="313" y1="59028" x2="313" y2="59028"/>
                    </a14:backgroundRemoval>
                  </a14:imgEffect>
                </a14:imgLayer>
              </a14:imgProps>
            </a:ext>
            <a:ext uri="{28A0092B-C50C-407E-A947-70E740481C1C}">
              <a14:useLocalDpi xmlns:a14="http://schemas.microsoft.com/office/drawing/2010/main" val="0"/>
            </a:ext>
          </a:extLst>
        </a:blip>
        <a:srcRect/>
        <a:stretch>
          <a:fillRect/>
        </a:stretch>
      </xdr:blipFill>
      <xdr:spPr bwMode="auto">
        <a:xfrm>
          <a:off x="6361649" y="7395455"/>
          <a:ext cx="765321" cy="391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54843</xdr:colOff>
      <xdr:row>36</xdr:row>
      <xdr:rowOff>134736</xdr:rowOff>
    </xdr:from>
    <xdr:to>
      <xdr:col>36</xdr:col>
      <xdr:colOff>940033</xdr:colOff>
      <xdr:row>41</xdr:row>
      <xdr:rowOff>17850</xdr:rowOff>
    </xdr:to>
    <xdr:pic>
      <xdr:nvPicPr>
        <xdr:cNvPr id="47" name="Imagem 46" descr="Rodomoura Implementos Rodoviários: Carrega Tudo 2 Eixos">
          <a:extLst>
            <a:ext uri="{FF2B5EF4-FFF2-40B4-BE49-F238E27FC236}">
              <a16:creationId xmlns:a16="http://schemas.microsoft.com/office/drawing/2014/main" id="{9CC3C3AB-B32E-40DB-A010-FCA8524BA531}"/>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13151718" y="10297911"/>
          <a:ext cx="882015" cy="673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134830</xdr:colOff>
      <xdr:row>60</xdr:row>
      <xdr:rowOff>39486</xdr:rowOff>
    </xdr:from>
    <xdr:to>
      <xdr:col>1</xdr:col>
      <xdr:colOff>859422</xdr:colOff>
      <xdr:row>64</xdr:row>
      <xdr:rowOff>20815</xdr:rowOff>
    </xdr:to>
    <xdr:pic>
      <xdr:nvPicPr>
        <xdr:cNvPr id="49" name="Imagem 48" descr="Tratores Puma 200, 215, 230 - Bugio Tratores">
          <a:extLst>
            <a:ext uri="{FF2B5EF4-FFF2-40B4-BE49-F238E27FC236}">
              <a16:creationId xmlns:a16="http://schemas.microsoft.com/office/drawing/2014/main" id="{BB0CCE25-5D34-44DC-91A5-B9AC063EB1E9}"/>
            </a:ext>
          </a:extLst>
        </xdr:cNvPr>
        <xdr:cNvPicPr>
          <a:picLocks noChangeAspect="1" noChangeArrowheads="1"/>
        </xdr:cNvPicPr>
      </xdr:nvPicPr>
      <xdr:blipFill rotWithShape="1">
        <a:blip xmlns:r="http://schemas.openxmlformats.org/officeDocument/2006/relationships" r:embed="rId18" cstate="print">
          <a:extLst>
            <a:ext uri="{28A0092B-C50C-407E-A947-70E740481C1C}">
              <a14:useLocalDpi xmlns:a14="http://schemas.microsoft.com/office/drawing/2010/main" val="0"/>
            </a:ext>
          </a:extLst>
        </a:blip>
        <a:srcRect l="1739" t="7650" r="2398"/>
        <a:stretch/>
      </xdr:blipFill>
      <xdr:spPr bwMode="auto">
        <a:xfrm>
          <a:off x="534880" y="14260311"/>
          <a:ext cx="724592" cy="5433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108796</xdr:colOff>
      <xdr:row>72</xdr:row>
      <xdr:rowOff>38522</xdr:rowOff>
    </xdr:from>
    <xdr:to>
      <xdr:col>1</xdr:col>
      <xdr:colOff>931641</xdr:colOff>
      <xdr:row>75</xdr:row>
      <xdr:rowOff>132238</xdr:rowOff>
    </xdr:to>
    <xdr:pic>
      <xdr:nvPicPr>
        <xdr:cNvPr id="50" name="Imagem 49" descr="Caminhão Comboio a Venda Direto da Fábrica">
          <a:extLst>
            <a:ext uri="{FF2B5EF4-FFF2-40B4-BE49-F238E27FC236}">
              <a16:creationId xmlns:a16="http://schemas.microsoft.com/office/drawing/2014/main" id="{25EC5493-C02B-4D6C-8022-7012385444DE}"/>
            </a:ext>
          </a:extLst>
        </xdr:cNvPr>
        <xdr:cNvPicPr>
          <a:picLocks noChangeAspect="1" noChangeArrowheads="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t="17750" b="16501"/>
        <a:stretch/>
      </xdr:blipFill>
      <xdr:spPr bwMode="auto">
        <a:xfrm>
          <a:off x="508846" y="14821322"/>
          <a:ext cx="822845" cy="5509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310367</xdr:colOff>
      <xdr:row>20</xdr:row>
      <xdr:rowOff>293969</xdr:rowOff>
    </xdr:from>
    <xdr:ext cx="551794" cy="452436"/>
    <xdr:pic>
      <xdr:nvPicPr>
        <xdr:cNvPr id="3" name="Imagem 2" descr="CARRO OFICINA ANDRADE">
          <a:extLst>
            <a:ext uri="{FF2B5EF4-FFF2-40B4-BE49-F238E27FC236}">
              <a16:creationId xmlns:a16="http://schemas.microsoft.com/office/drawing/2014/main" id="{12CAA9CB-52C0-DEB3-DB4C-C197B0B9DCEE}"/>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11374" t="2434" r="10875" b="2060"/>
        <a:stretch/>
      </xdr:blipFill>
      <xdr:spPr bwMode="auto">
        <a:xfrm>
          <a:off x="3118171" y="5727360"/>
          <a:ext cx="551794" cy="4524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296976</xdr:colOff>
      <xdr:row>20</xdr:row>
      <xdr:rowOff>290794</xdr:rowOff>
    </xdr:from>
    <xdr:ext cx="551794" cy="452436"/>
    <xdr:pic>
      <xdr:nvPicPr>
        <xdr:cNvPr id="4" name="Imagem 3" descr="CARRO OFICINA ANDRADE">
          <a:extLst>
            <a:ext uri="{FF2B5EF4-FFF2-40B4-BE49-F238E27FC236}">
              <a16:creationId xmlns:a16="http://schemas.microsoft.com/office/drawing/2014/main" id="{92158B1B-108E-4E7B-80A4-318F90F3001E}"/>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11374" t="2434" r="10875" b="2060"/>
        <a:stretch/>
      </xdr:blipFill>
      <xdr:spPr bwMode="auto">
        <a:xfrm>
          <a:off x="1966888" y="5727360"/>
          <a:ext cx="551794" cy="4524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690289</xdr:colOff>
      <xdr:row>28</xdr:row>
      <xdr:rowOff>248238</xdr:rowOff>
    </xdr:from>
    <xdr:ext cx="737870" cy="417099"/>
    <xdr:pic>
      <xdr:nvPicPr>
        <xdr:cNvPr id="58" name="Imagem 57" descr="Confira 16 opções de picapes e furgões para pegar no batente - Motor Show">
          <a:extLst>
            <a:ext uri="{FF2B5EF4-FFF2-40B4-BE49-F238E27FC236}">
              <a16:creationId xmlns:a16="http://schemas.microsoft.com/office/drawing/2014/main" id="{52AC64E8-5EDA-42C5-873E-22A06DCBF032}"/>
            </a:ext>
          </a:extLst>
        </xdr:cNvPr>
        <xdr:cNvPicPr>
          <a:picLocks noChangeAspect="1" noChangeArrowheads="1"/>
        </xdr:cNvPicPr>
      </xdr:nvPicPr>
      <xdr:blipFill>
        <a:blip xmlns:r="http://schemas.openxmlformats.org/officeDocument/2006/relationships" r:embed="rId6" cstate="print">
          <a:extLst>
            <a:ext uri="{BEBA8EAE-BF5A-486C-A8C5-ECC9F3942E4B}">
              <a14:imgProps xmlns:a14="http://schemas.microsoft.com/office/drawing/2010/main">
                <a14:imgLayer r:embed="rId3">
                  <a14:imgEffect>
                    <a14:backgroundRemoval t="10000" b="90000" l="313" r="98906">
                      <a14:foregroundMark x1="10234" y1="41528" x2="10234" y2="41528"/>
                      <a14:foregroundMark x1="98984" y1="35694" x2="98984" y2="35694"/>
                      <a14:foregroundMark x1="313" y1="59028" x2="313" y2="59028"/>
                    </a14:backgroundRemoval>
                  </a14:imgEffect>
                </a14:imgLayer>
              </a14:imgProps>
            </a:ext>
            <a:ext uri="{28A0092B-C50C-407E-A947-70E740481C1C}">
              <a14:useLocalDpi xmlns:a14="http://schemas.microsoft.com/office/drawing/2010/main" val="0"/>
            </a:ext>
          </a:extLst>
        </a:blip>
        <a:srcRect/>
        <a:stretch>
          <a:fillRect/>
        </a:stretch>
      </xdr:blipFill>
      <xdr:spPr bwMode="auto">
        <a:xfrm>
          <a:off x="2366551" y="7180781"/>
          <a:ext cx="737870" cy="41709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9</xdr:col>
      <xdr:colOff>156125</xdr:colOff>
      <xdr:row>13</xdr:row>
      <xdr:rowOff>104499</xdr:rowOff>
    </xdr:from>
    <xdr:to>
      <xdr:col>10</xdr:col>
      <xdr:colOff>121064</xdr:colOff>
      <xdr:row>14</xdr:row>
      <xdr:rowOff>532019</xdr:rowOff>
    </xdr:to>
    <xdr:sp macro="" textlink="">
      <xdr:nvSpPr>
        <xdr:cNvPr id="59" name="CaixaDeTexto 58">
          <a:extLst>
            <a:ext uri="{FF2B5EF4-FFF2-40B4-BE49-F238E27FC236}">
              <a16:creationId xmlns:a16="http://schemas.microsoft.com/office/drawing/2014/main" id="{DA3FBC2B-EA9D-9570-A6E1-03991A0C4C38}"/>
            </a:ext>
          </a:extLst>
        </xdr:cNvPr>
        <xdr:cNvSpPr txBox="1"/>
      </xdr:nvSpPr>
      <xdr:spPr>
        <a:xfrm>
          <a:off x="7469668" y="3475521"/>
          <a:ext cx="1215613" cy="684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a:t>MARCOS</a:t>
          </a:r>
          <a:r>
            <a:rPr lang="pt-BR" sz="1200" b="1" baseline="0"/>
            <a:t> CESAR</a:t>
          </a:r>
        </a:p>
        <a:p>
          <a:r>
            <a:rPr lang="pt-BR" sz="1200" b="1" baseline="0"/>
            <a:t>JEFERSON</a:t>
          </a:r>
        </a:p>
        <a:p>
          <a:r>
            <a:rPr lang="pt-BR" sz="1200" b="1" baseline="0"/>
            <a:t>EDIVAL</a:t>
          </a:r>
          <a:endParaRPr lang="pt-BR" sz="1200" b="1"/>
        </a:p>
      </xdr:txBody>
    </xdr:sp>
    <xdr:clientData/>
  </xdr:twoCellAnchor>
  <xdr:twoCellAnchor>
    <xdr:from>
      <xdr:col>10</xdr:col>
      <xdr:colOff>565148</xdr:colOff>
      <xdr:row>13</xdr:row>
      <xdr:rowOff>107674</xdr:rowOff>
    </xdr:from>
    <xdr:to>
      <xdr:col>12</xdr:col>
      <xdr:colOff>1027043</xdr:colOff>
      <xdr:row>14</xdr:row>
      <xdr:rowOff>532019</xdr:rowOff>
    </xdr:to>
    <xdr:sp macro="" textlink="">
      <xdr:nvSpPr>
        <xdr:cNvPr id="60" name="CaixaDeTexto 59">
          <a:extLst>
            <a:ext uri="{FF2B5EF4-FFF2-40B4-BE49-F238E27FC236}">
              <a16:creationId xmlns:a16="http://schemas.microsoft.com/office/drawing/2014/main" id="{C0CE4442-4137-CE90-1193-0B4200EA7A09}"/>
            </a:ext>
          </a:extLst>
        </xdr:cNvPr>
        <xdr:cNvSpPr txBox="1"/>
      </xdr:nvSpPr>
      <xdr:spPr>
        <a:xfrm>
          <a:off x="9129365" y="3478696"/>
          <a:ext cx="1215613" cy="681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baseline="0"/>
            <a:t>VALTER</a:t>
          </a:r>
        </a:p>
        <a:p>
          <a:endParaRPr lang="pt-BR" sz="1200" b="1" baseline="0"/>
        </a:p>
        <a:p>
          <a:r>
            <a:rPr lang="pt-BR" sz="1200" b="1" baseline="0"/>
            <a:t>JHONATAN</a:t>
          </a:r>
          <a:endParaRPr lang="pt-BR" sz="1200" b="1"/>
        </a:p>
      </xdr:txBody>
    </xdr:sp>
    <xdr:clientData/>
  </xdr:twoCellAnchor>
  <xdr:oneCellAnchor>
    <xdr:from>
      <xdr:col>9</xdr:col>
      <xdr:colOff>254225</xdr:colOff>
      <xdr:row>20</xdr:row>
      <xdr:rowOff>585851</xdr:rowOff>
    </xdr:from>
    <xdr:ext cx="638922" cy="523875"/>
    <xdr:pic>
      <xdr:nvPicPr>
        <xdr:cNvPr id="68" name="Imagem 67" descr="CARRO OFICINA ANDRADE">
          <a:extLst>
            <a:ext uri="{FF2B5EF4-FFF2-40B4-BE49-F238E27FC236}">
              <a16:creationId xmlns:a16="http://schemas.microsoft.com/office/drawing/2014/main" id="{8A398FB3-38CB-4826-937D-1A371A1735DB}"/>
            </a:ext>
          </a:extLst>
        </xdr:cNvPr>
        <xdr:cNvPicPr>
          <a:picLocks noChangeAspect="1" noChangeArrowheads="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11374" t="2434" r="10875" b="2060"/>
        <a:stretch/>
      </xdr:blipFill>
      <xdr:spPr bwMode="auto">
        <a:xfrm>
          <a:off x="7567768" y="6019242"/>
          <a:ext cx="638922" cy="5238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729475</xdr:colOff>
      <xdr:row>24</xdr:row>
      <xdr:rowOff>455734</xdr:rowOff>
    </xdr:from>
    <xdr:ext cx="765321" cy="394424"/>
    <xdr:pic>
      <xdr:nvPicPr>
        <xdr:cNvPr id="69" name="Imagem 68" descr="Confira 16 opções de picapes e furgões para pegar no batente - Motor Show">
          <a:extLst>
            <a:ext uri="{FF2B5EF4-FFF2-40B4-BE49-F238E27FC236}">
              <a16:creationId xmlns:a16="http://schemas.microsoft.com/office/drawing/2014/main" id="{FA0EC1EE-06F7-4EA6-81C3-BDC499885943}"/>
            </a:ext>
          </a:extLst>
        </xdr:cNvPr>
        <xdr:cNvPicPr>
          <a:picLocks noChangeAspect="1" noChangeArrowheads="1"/>
        </xdr:cNvPicPr>
      </xdr:nvPicPr>
      <xdr:blipFill>
        <a:blip xmlns:r="http://schemas.openxmlformats.org/officeDocument/2006/relationships" r:embed="rId6" cstate="print">
          <a:extLst>
            <a:ext uri="{BEBA8EAE-BF5A-486C-A8C5-ECC9F3942E4B}">
              <a14:imgProps xmlns:a14="http://schemas.microsoft.com/office/drawing/2010/main">
                <a14:imgLayer r:embed="rId3">
                  <a14:imgEffect>
                    <a14:backgroundRemoval t="10000" b="90000" l="313" r="98906">
                      <a14:foregroundMark x1="10234" y1="41528" x2="10234" y2="41528"/>
                      <a14:foregroundMark x1="98984" y1="35694" x2="98984" y2="35694"/>
                      <a14:foregroundMark x1="313" y1="59028" x2="313" y2="59028"/>
                    </a14:backgroundRemoval>
                  </a14:imgEffect>
                </a14:imgLayer>
              </a14:imgProps>
            </a:ext>
            <a:ext uri="{28A0092B-C50C-407E-A947-70E740481C1C}">
              <a14:useLocalDpi xmlns:a14="http://schemas.microsoft.com/office/drawing/2010/main" val="0"/>
            </a:ext>
          </a:extLst>
        </a:blip>
        <a:srcRect/>
        <a:stretch>
          <a:fillRect/>
        </a:stretch>
      </xdr:blipFill>
      <xdr:spPr bwMode="auto">
        <a:xfrm>
          <a:off x="8043018" y="7388277"/>
          <a:ext cx="765321" cy="39442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1171662</xdr:colOff>
      <xdr:row>20</xdr:row>
      <xdr:rowOff>552720</xdr:rowOff>
    </xdr:from>
    <xdr:ext cx="638922" cy="523875"/>
    <xdr:pic>
      <xdr:nvPicPr>
        <xdr:cNvPr id="70" name="Imagem 69" descr="CARRO OFICINA ANDRADE">
          <a:extLst>
            <a:ext uri="{FF2B5EF4-FFF2-40B4-BE49-F238E27FC236}">
              <a16:creationId xmlns:a16="http://schemas.microsoft.com/office/drawing/2014/main" id="{4AC9405E-04EB-2BF3-A276-024FF7297B35}"/>
            </a:ext>
          </a:extLst>
        </xdr:cNvPr>
        <xdr:cNvPicPr>
          <a:picLocks noChangeAspect="1" noChangeArrowheads="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11374" t="2434" r="10875" b="2060"/>
        <a:stretch/>
      </xdr:blipFill>
      <xdr:spPr bwMode="auto">
        <a:xfrm>
          <a:off x="6480814" y="5986111"/>
          <a:ext cx="638922" cy="5238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1108575</xdr:colOff>
      <xdr:row>20</xdr:row>
      <xdr:rowOff>574393</xdr:rowOff>
    </xdr:from>
    <xdr:ext cx="638922" cy="523875"/>
    <xdr:pic>
      <xdr:nvPicPr>
        <xdr:cNvPr id="71" name="Imagem 70" descr="CARRO OFICINA ANDRADE">
          <a:extLst>
            <a:ext uri="{FF2B5EF4-FFF2-40B4-BE49-F238E27FC236}">
              <a16:creationId xmlns:a16="http://schemas.microsoft.com/office/drawing/2014/main" id="{6A5A894C-1DCC-2ABA-63B8-6D9481499059}"/>
            </a:ext>
          </a:extLst>
        </xdr:cNvPr>
        <xdr:cNvPicPr>
          <a:picLocks noChangeAspect="1" noChangeArrowheads="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11374" t="2434" r="10875" b="2060"/>
        <a:stretch/>
      </xdr:blipFill>
      <xdr:spPr bwMode="auto">
        <a:xfrm>
          <a:off x="8422118" y="6007784"/>
          <a:ext cx="638922" cy="5238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637494</xdr:colOff>
      <xdr:row>13</xdr:row>
      <xdr:rowOff>237386</xdr:rowOff>
    </xdr:from>
    <xdr:ext cx="759409" cy="409315"/>
    <xdr:pic>
      <xdr:nvPicPr>
        <xdr:cNvPr id="74" name="Imagem 73" descr="Confira 16 opções de picapes e furgões para pegar no batente - Motor Show">
          <a:extLst>
            <a:ext uri="{FF2B5EF4-FFF2-40B4-BE49-F238E27FC236}">
              <a16:creationId xmlns:a16="http://schemas.microsoft.com/office/drawing/2014/main" id="{74572680-6F93-4787-AE70-9E0BC57BB5D4}"/>
            </a:ext>
          </a:extLst>
        </xdr:cNvPr>
        <xdr:cNvPicPr>
          <a:picLocks noChangeAspect="1" noChangeArrowheads="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313" r="98906">
                      <a14:foregroundMark x1="10234" y1="41528" x2="10234" y2="41528"/>
                      <a14:foregroundMark x1="98984" y1="35694" x2="98984" y2="35694"/>
                      <a14:foregroundMark x1="313" y1="59028" x2="313" y2="59028"/>
                    </a14:backgroundRemoval>
                  </a14:imgEffect>
                </a14:imgLayer>
              </a14:imgProps>
            </a:ext>
            <a:ext uri="{28A0092B-C50C-407E-A947-70E740481C1C}">
              <a14:useLocalDpi xmlns:a14="http://schemas.microsoft.com/office/drawing/2010/main" val="0"/>
            </a:ext>
          </a:extLst>
        </a:blip>
        <a:srcRect/>
        <a:stretch>
          <a:fillRect/>
        </a:stretch>
      </xdr:blipFill>
      <xdr:spPr bwMode="auto">
        <a:xfrm>
          <a:off x="14373987" y="3582970"/>
          <a:ext cx="759409" cy="40931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1215025</xdr:colOff>
      <xdr:row>20</xdr:row>
      <xdr:rowOff>689735</xdr:rowOff>
    </xdr:from>
    <xdr:ext cx="702798" cy="402157"/>
    <xdr:pic>
      <xdr:nvPicPr>
        <xdr:cNvPr id="75" name="Imagem 74" descr="Confira 16 opções de picapes e furgões para pegar no batente - Motor Show">
          <a:extLst>
            <a:ext uri="{FF2B5EF4-FFF2-40B4-BE49-F238E27FC236}">
              <a16:creationId xmlns:a16="http://schemas.microsoft.com/office/drawing/2014/main" id="{A9ECE31A-CE2D-4B93-9A7C-AFF5A75E294B}"/>
            </a:ext>
          </a:extLst>
        </xdr:cNvPr>
        <xdr:cNvPicPr>
          <a:picLocks noChangeAspect="1" noChangeArrowheads="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313" r="98906">
                      <a14:foregroundMark x1="10234" y1="41528" x2="10234" y2="41528"/>
                      <a14:foregroundMark x1="98984" y1="35694" x2="98984" y2="35694"/>
                      <a14:foregroundMark x1="313" y1="59028" x2="313" y2="59028"/>
                    </a14:backgroundRemoval>
                  </a14:imgEffect>
                </a14:imgLayer>
              </a14:imgProps>
            </a:ext>
            <a:ext uri="{28A0092B-C50C-407E-A947-70E740481C1C}">
              <a14:useLocalDpi xmlns:a14="http://schemas.microsoft.com/office/drawing/2010/main" val="0"/>
            </a:ext>
          </a:extLst>
        </a:blip>
        <a:srcRect/>
        <a:stretch>
          <a:fillRect/>
        </a:stretch>
      </xdr:blipFill>
      <xdr:spPr bwMode="auto">
        <a:xfrm>
          <a:off x="19065996" y="6113382"/>
          <a:ext cx="702798" cy="4021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25</xdr:col>
      <xdr:colOff>16063</xdr:colOff>
      <xdr:row>19</xdr:row>
      <xdr:rowOff>180643</xdr:rowOff>
    </xdr:from>
    <xdr:ext cx="638922" cy="523875"/>
    <xdr:pic>
      <xdr:nvPicPr>
        <xdr:cNvPr id="76" name="Imagem 75" descr="CARRO OFICINA ANDRADE">
          <a:extLst>
            <a:ext uri="{FF2B5EF4-FFF2-40B4-BE49-F238E27FC236}">
              <a16:creationId xmlns:a16="http://schemas.microsoft.com/office/drawing/2014/main" id="{0551D760-A45B-4B0A-94DF-F92B29D5F422}"/>
            </a:ext>
          </a:extLst>
        </xdr:cNvPr>
        <xdr:cNvPicPr>
          <a:picLocks noChangeAspect="1" noChangeArrowheads="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11374" t="2434" r="10875" b="2060"/>
        <a:stretch/>
      </xdr:blipFill>
      <xdr:spPr bwMode="auto">
        <a:xfrm>
          <a:off x="12918108" y="5413909"/>
          <a:ext cx="638922" cy="5238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28</xdr:col>
      <xdr:colOff>48639</xdr:colOff>
      <xdr:row>19</xdr:row>
      <xdr:rowOff>175804</xdr:rowOff>
    </xdr:from>
    <xdr:ext cx="593776" cy="518160"/>
    <xdr:pic>
      <xdr:nvPicPr>
        <xdr:cNvPr id="78" name="Imagem 77" descr="CARRO OFICINA ANDRADE">
          <a:extLst>
            <a:ext uri="{FF2B5EF4-FFF2-40B4-BE49-F238E27FC236}">
              <a16:creationId xmlns:a16="http://schemas.microsoft.com/office/drawing/2014/main" id="{ED2AFC0E-C34B-467B-BC14-254C865F54DF}"/>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11374" t="2434" r="10875" b="2060"/>
        <a:stretch/>
      </xdr:blipFill>
      <xdr:spPr bwMode="auto">
        <a:xfrm>
          <a:off x="14800555" y="5409070"/>
          <a:ext cx="593776" cy="5181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15</xdr:col>
      <xdr:colOff>757154</xdr:colOff>
      <xdr:row>20</xdr:row>
      <xdr:rowOff>589934</xdr:rowOff>
    </xdr:from>
    <xdr:to>
      <xdr:col>16</xdr:col>
      <xdr:colOff>86320</xdr:colOff>
      <xdr:row>21</xdr:row>
      <xdr:rowOff>362659</xdr:rowOff>
    </xdr:to>
    <xdr:pic>
      <xdr:nvPicPr>
        <xdr:cNvPr id="85" name="Imagem 84" descr="CARRO OFICINA ANDRADE">
          <a:extLst>
            <a:ext uri="{FF2B5EF4-FFF2-40B4-BE49-F238E27FC236}">
              <a16:creationId xmlns:a16="http://schemas.microsoft.com/office/drawing/2014/main" id="{20E2D00A-D5D4-E2E7-C744-B4D7A6451ADA}"/>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11374" t="2434" r="10875" b="2060"/>
        <a:stretch/>
      </xdr:blipFill>
      <xdr:spPr bwMode="auto">
        <a:xfrm>
          <a:off x="12097507" y="6013581"/>
          <a:ext cx="637079" cy="5123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24</xdr:col>
      <xdr:colOff>212912</xdr:colOff>
      <xdr:row>9</xdr:row>
      <xdr:rowOff>155536</xdr:rowOff>
    </xdr:from>
    <xdr:ext cx="765190" cy="408221"/>
    <xdr:pic>
      <xdr:nvPicPr>
        <xdr:cNvPr id="86" name="Imagem 85" descr="Confira 16 opções de picapes e furgões para pegar no batente - Motor Show">
          <a:extLst>
            <a:ext uri="{FF2B5EF4-FFF2-40B4-BE49-F238E27FC236}">
              <a16:creationId xmlns:a16="http://schemas.microsoft.com/office/drawing/2014/main" id="{DCC3BE6A-DDFA-4EB1-9CE5-E3481639C198}"/>
            </a:ext>
          </a:extLst>
        </xdr:cNvPr>
        <xdr:cNvPicPr>
          <a:picLocks noChangeAspect="1" noChangeArrowheads="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313" r="98906">
                      <a14:foregroundMark x1="10234" y1="41528" x2="10234" y2="41528"/>
                      <a14:foregroundMark x1="98984" y1="35694" x2="98984" y2="35694"/>
                      <a14:foregroundMark x1="313" y1="59028" x2="313" y2="59028"/>
                    </a14:backgroundRemoval>
                  </a14:imgEffect>
                </a14:imgLayer>
              </a14:imgProps>
            </a:ext>
            <a:ext uri="{28A0092B-C50C-407E-A947-70E740481C1C}">
              <a14:useLocalDpi xmlns:a14="http://schemas.microsoft.com/office/drawing/2010/main" val="0"/>
            </a:ext>
          </a:extLst>
        </a:blip>
        <a:srcRect/>
        <a:stretch>
          <a:fillRect/>
        </a:stretch>
      </xdr:blipFill>
      <xdr:spPr bwMode="auto">
        <a:xfrm>
          <a:off x="18063883" y="2295860"/>
          <a:ext cx="765190" cy="40822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34259</xdr:colOff>
      <xdr:row>20</xdr:row>
      <xdr:rowOff>503949</xdr:rowOff>
    </xdr:from>
    <xdr:ext cx="593776" cy="518160"/>
    <xdr:pic>
      <xdr:nvPicPr>
        <xdr:cNvPr id="90" name="Imagem 89" descr="CARRO OFICINA ANDRADE">
          <a:extLst>
            <a:ext uri="{FF2B5EF4-FFF2-40B4-BE49-F238E27FC236}">
              <a16:creationId xmlns:a16="http://schemas.microsoft.com/office/drawing/2014/main" id="{D796CF09-A816-4B12-94C8-F3B17A3991CC}"/>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11374" t="2434" r="10875" b="2060"/>
        <a:stretch/>
      </xdr:blipFill>
      <xdr:spPr bwMode="auto">
        <a:xfrm>
          <a:off x="24474288" y="5927596"/>
          <a:ext cx="593776" cy="5181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48639</xdr:colOff>
      <xdr:row>19</xdr:row>
      <xdr:rowOff>175804</xdr:rowOff>
    </xdr:from>
    <xdr:ext cx="593776" cy="518160"/>
    <xdr:pic>
      <xdr:nvPicPr>
        <xdr:cNvPr id="91" name="Imagem 90" descr="CARRO OFICINA ANDRADE">
          <a:extLst>
            <a:ext uri="{FF2B5EF4-FFF2-40B4-BE49-F238E27FC236}">
              <a16:creationId xmlns:a16="http://schemas.microsoft.com/office/drawing/2014/main" id="{A1DB6CBA-B4BC-44D1-9A17-92707C7F6579}"/>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11374" t="2434" r="10875" b="2060"/>
        <a:stretch/>
      </xdr:blipFill>
      <xdr:spPr bwMode="auto">
        <a:xfrm>
          <a:off x="22883052" y="5412126"/>
          <a:ext cx="593776" cy="5181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57</xdr:col>
      <xdr:colOff>1081564</xdr:colOff>
      <xdr:row>20</xdr:row>
      <xdr:rowOff>26987</xdr:rowOff>
    </xdr:from>
    <xdr:ext cx="870020" cy="484981"/>
    <xdr:pic>
      <xdr:nvPicPr>
        <xdr:cNvPr id="92" name="Imagem 91" descr="CURSO COMPLETO DE OPERADOR DE CAMINHÃO MUNCK ONLINE - Grupo CPV Treinamentos">
          <a:extLst>
            <a:ext uri="{FF2B5EF4-FFF2-40B4-BE49-F238E27FC236}">
              <a16:creationId xmlns:a16="http://schemas.microsoft.com/office/drawing/2014/main" id="{EC405A82-B8E1-45A5-9AFF-C4F570073C54}"/>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6090" r="10257" b="4762"/>
        <a:stretch/>
      </xdr:blipFill>
      <xdr:spPr bwMode="auto">
        <a:xfrm flipH="1">
          <a:off x="41792535" y="5450634"/>
          <a:ext cx="870020" cy="48498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57</xdr:col>
      <xdr:colOff>1102185</xdr:colOff>
      <xdr:row>23</xdr:row>
      <xdr:rowOff>189479</xdr:rowOff>
    </xdr:from>
    <xdr:ext cx="871290" cy="488156"/>
    <xdr:pic>
      <xdr:nvPicPr>
        <xdr:cNvPr id="93" name="Imagem 92" descr="CURSO COMPLETO DE OPERADOR DE CAMINHÃO MUNCK ONLINE - Grupo CPV Treinamentos">
          <a:extLst>
            <a:ext uri="{FF2B5EF4-FFF2-40B4-BE49-F238E27FC236}">
              <a16:creationId xmlns:a16="http://schemas.microsoft.com/office/drawing/2014/main" id="{BE4045B1-3FE5-4F3F-A01B-F498EFC45786}"/>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6090" r="10257" b="4762"/>
        <a:stretch/>
      </xdr:blipFill>
      <xdr:spPr bwMode="auto">
        <a:xfrm flipH="1">
          <a:off x="41813156" y="6913008"/>
          <a:ext cx="871290" cy="4881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57</xdr:col>
      <xdr:colOff>43297</xdr:colOff>
      <xdr:row>32</xdr:row>
      <xdr:rowOff>78971</xdr:rowOff>
    </xdr:from>
    <xdr:ext cx="1032451" cy="1053095"/>
    <xdr:pic>
      <xdr:nvPicPr>
        <xdr:cNvPr id="94" name="Imagem 93" descr="Pneu 295/80R22.5 Armor Max OTR 152/148D H - Goodyear">
          <a:extLst>
            <a:ext uri="{FF2B5EF4-FFF2-40B4-BE49-F238E27FC236}">
              <a16:creationId xmlns:a16="http://schemas.microsoft.com/office/drawing/2014/main" id="{9138F20B-5B42-40E1-BF91-F57CB9D60695}"/>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39087766" y="9570353"/>
          <a:ext cx="1032451" cy="10530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63</xdr:col>
      <xdr:colOff>500137</xdr:colOff>
      <xdr:row>29</xdr:row>
      <xdr:rowOff>68723</xdr:rowOff>
    </xdr:from>
    <xdr:to>
      <xdr:col>63</xdr:col>
      <xdr:colOff>1248191</xdr:colOff>
      <xdr:row>29</xdr:row>
      <xdr:rowOff>487982</xdr:rowOff>
    </xdr:to>
    <xdr:pic>
      <xdr:nvPicPr>
        <xdr:cNvPr id="95" name="Imagem 94" descr="Confira 16 opções de picapes e furgões para pegar no batente - Motor Show">
          <a:extLst>
            <a:ext uri="{FF2B5EF4-FFF2-40B4-BE49-F238E27FC236}">
              <a16:creationId xmlns:a16="http://schemas.microsoft.com/office/drawing/2014/main" id="{01781881-30F5-B27E-292E-31C9591B167D}"/>
            </a:ext>
          </a:extLst>
        </xdr:cNvPr>
        <xdr:cNvPicPr>
          <a:picLocks noChangeAspect="1" noChangeArrowheads="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313" r="98906">
                      <a14:foregroundMark x1="10234" y1="41528" x2="10234" y2="41528"/>
                      <a14:foregroundMark x1="98984" y1="35694" x2="98984" y2="35694"/>
                      <a14:foregroundMark x1="313" y1="59028" x2="313" y2="59028"/>
                    </a14:backgroundRemoval>
                  </a14:imgEffect>
                </a14:imgLayer>
              </a14:imgProps>
            </a:ext>
            <a:ext uri="{28A0092B-C50C-407E-A947-70E740481C1C}">
              <a14:useLocalDpi xmlns:a14="http://schemas.microsoft.com/office/drawing/2010/main" val="0"/>
            </a:ext>
          </a:extLst>
        </a:blip>
        <a:srcRect/>
        <a:stretch>
          <a:fillRect/>
        </a:stretch>
      </xdr:blipFill>
      <xdr:spPr bwMode="auto">
        <a:xfrm>
          <a:off x="45231918" y="8403098"/>
          <a:ext cx="741704" cy="4192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54</xdr:col>
      <xdr:colOff>246529</xdr:colOff>
      <xdr:row>32</xdr:row>
      <xdr:rowOff>100854</xdr:rowOff>
    </xdr:from>
    <xdr:to>
      <xdr:col>54</xdr:col>
      <xdr:colOff>1141164</xdr:colOff>
      <xdr:row>35</xdr:row>
      <xdr:rowOff>155105</xdr:rowOff>
    </xdr:to>
    <xdr:pic>
      <xdr:nvPicPr>
        <xdr:cNvPr id="97" name="Imagem 96" descr="Caminhão Comboio a Venda Direto da Fábrica">
          <a:extLst>
            <a:ext uri="{FF2B5EF4-FFF2-40B4-BE49-F238E27FC236}">
              <a16:creationId xmlns:a16="http://schemas.microsoft.com/office/drawing/2014/main" id="{17E7461C-18C8-4837-85BF-AE39F95D6DC6}"/>
            </a:ext>
          </a:extLst>
        </xdr:cNvPr>
        <xdr:cNvPicPr>
          <a:picLocks noChangeAspect="1" noChangeArrowheads="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t="17750" b="16501"/>
        <a:stretch/>
      </xdr:blipFill>
      <xdr:spPr bwMode="auto">
        <a:xfrm>
          <a:off x="38884411" y="9592236"/>
          <a:ext cx="894635" cy="5585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268941</xdr:colOff>
      <xdr:row>29</xdr:row>
      <xdr:rowOff>235324</xdr:rowOff>
    </xdr:from>
    <xdr:to>
      <xdr:col>27</xdr:col>
      <xdr:colOff>393268</xdr:colOff>
      <xdr:row>30</xdr:row>
      <xdr:rowOff>179560</xdr:rowOff>
    </xdr:to>
    <xdr:pic>
      <xdr:nvPicPr>
        <xdr:cNvPr id="98" name="Imagem 97" descr="Caminhão Comboio a Venda Direto da Fábrica">
          <a:extLst>
            <a:ext uri="{FF2B5EF4-FFF2-40B4-BE49-F238E27FC236}">
              <a16:creationId xmlns:a16="http://schemas.microsoft.com/office/drawing/2014/main" id="{3896DE44-3EFD-4719-B7CD-31B7DE047051}"/>
            </a:ext>
          </a:extLst>
        </xdr:cNvPr>
        <xdr:cNvPicPr>
          <a:picLocks noChangeAspect="1" noChangeArrowheads="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t="17750" b="16501"/>
        <a:stretch/>
      </xdr:blipFill>
      <xdr:spPr bwMode="auto">
        <a:xfrm>
          <a:off x="19341353" y="8606118"/>
          <a:ext cx="886327" cy="5829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xdr:col>
      <xdr:colOff>504265</xdr:colOff>
      <xdr:row>29</xdr:row>
      <xdr:rowOff>283322</xdr:rowOff>
    </xdr:from>
    <xdr:to>
      <xdr:col>34</xdr:col>
      <xdr:colOff>85854</xdr:colOff>
      <xdr:row>30</xdr:row>
      <xdr:rowOff>218033</xdr:rowOff>
    </xdr:to>
    <xdr:pic>
      <xdr:nvPicPr>
        <xdr:cNvPr id="99" name="Imagem 98" descr="Caminhão Comboio a Venda Direto da Fábrica">
          <a:extLst>
            <a:ext uri="{FF2B5EF4-FFF2-40B4-BE49-F238E27FC236}">
              <a16:creationId xmlns:a16="http://schemas.microsoft.com/office/drawing/2014/main" id="{D31E26C5-2A56-4CE4-992C-51406AB6DF1B}"/>
            </a:ext>
          </a:extLst>
        </xdr:cNvPr>
        <xdr:cNvPicPr>
          <a:picLocks noChangeAspect="1" noChangeArrowheads="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t="17750" b="16501"/>
        <a:stretch/>
      </xdr:blipFill>
      <xdr:spPr bwMode="auto">
        <a:xfrm>
          <a:off x="24484853" y="8654116"/>
          <a:ext cx="886327" cy="5797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30</xdr:col>
      <xdr:colOff>1116600</xdr:colOff>
      <xdr:row>20</xdr:row>
      <xdr:rowOff>692910</xdr:rowOff>
    </xdr:from>
    <xdr:ext cx="702798" cy="402157"/>
    <xdr:pic>
      <xdr:nvPicPr>
        <xdr:cNvPr id="100" name="Imagem 99" descr="Confira 16 opções de picapes e furgões para pegar no batente - Motor Show">
          <a:extLst>
            <a:ext uri="{FF2B5EF4-FFF2-40B4-BE49-F238E27FC236}">
              <a16:creationId xmlns:a16="http://schemas.microsoft.com/office/drawing/2014/main" id="{D18B1EB7-D023-B480-A22C-FA816F393D95}"/>
            </a:ext>
          </a:extLst>
        </xdr:cNvPr>
        <xdr:cNvPicPr>
          <a:picLocks noChangeAspect="1" noChangeArrowheads="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313" r="98906">
                      <a14:foregroundMark x1="10234" y1="41528" x2="10234" y2="41528"/>
                      <a14:foregroundMark x1="98984" y1="35694" x2="98984" y2="35694"/>
                      <a14:foregroundMark x1="313" y1="59028" x2="313" y2="59028"/>
                    </a14:backgroundRemoval>
                  </a14:imgEffect>
                </a14:imgLayer>
              </a14:imgProps>
            </a:ext>
            <a:ext uri="{28A0092B-C50C-407E-A947-70E740481C1C}">
              <a14:useLocalDpi xmlns:a14="http://schemas.microsoft.com/office/drawing/2010/main" val="0"/>
            </a:ext>
          </a:extLst>
        </a:blip>
        <a:srcRect/>
        <a:stretch>
          <a:fillRect/>
        </a:stretch>
      </xdr:blipFill>
      <xdr:spPr bwMode="auto">
        <a:xfrm>
          <a:off x="22940756" y="6074535"/>
          <a:ext cx="702798" cy="4021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xdr:col>
      <xdr:colOff>143562</xdr:colOff>
      <xdr:row>64</xdr:row>
      <xdr:rowOff>10117</xdr:rowOff>
    </xdr:from>
    <xdr:to>
      <xdr:col>1</xdr:col>
      <xdr:colOff>864979</xdr:colOff>
      <xdr:row>67</xdr:row>
      <xdr:rowOff>85902</xdr:rowOff>
    </xdr:to>
    <xdr:pic>
      <xdr:nvPicPr>
        <xdr:cNvPr id="102" name="Imagem 101" descr="Tratores Puma 200, 215, 230 - Bugio Tratores">
          <a:extLst>
            <a:ext uri="{FF2B5EF4-FFF2-40B4-BE49-F238E27FC236}">
              <a16:creationId xmlns:a16="http://schemas.microsoft.com/office/drawing/2014/main" id="{61CB6AF7-5844-83DB-EC90-0832B642E161}"/>
            </a:ext>
          </a:extLst>
        </xdr:cNvPr>
        <xdr:cNvPicPr>
          <a:picLocks noChangeAspect="1" noChangeArrowheads="1"/>
        </xdr:cNvPicPr>
      </xdr:nvPicPr>
      <xdr:blipFill rotWithShape="1">
        <a:blip xmlns:r="http://schemas.openxmlformats.org/officeDocument/2006/relationships" r:embed="rId18" cstate="print">
          <a:extLst>
            <a:ext uri="{28A0092B-C50C-407E-A947-70E740481C1C}">
              <a14:useLocalDpi xmlns:a14="http://schemas.microsoft.com/office/drawing/2010/main" val="0"/>
            </a:ext>
          </a:extLst>
        </a:blip>
        <a:srcRect l="1739" t="7650" r="2398"/>
        <a:stretch/>
      </xdr:blipFill>
      <xdr:spPr bwMode="auto">
        <a:xfrm>
          <a:off x="560281" y="15011992"/>
          <a:ext cx="724592" cy="5369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167375</xdr:colOff>
      <xdr:row>68</xdr:row>
      <xdr:rowOff>18848</xdr:rowOff>
    </xdr:from>
    <xdr:to>
      <xdr:col>1</xdr:col>
      <xdr:colOff>888792</xdr:colOff>
      <xdr:row>71</xdr:row>
      <xdr:rowOff>97808</xdr:rowOff>
    </xdr:to>
    <xdr:pic>
      <xdr:nvPicPr>
        <xdr:cNvPr id="103" name="Imagem 102" descr="Tratores Puma 200, 215, 230 - Bugio Tratores">
          <a:extLst>
            <a:ext uri="{FF2B5EF4-FFF2-40B4-BE49-F238E27FC236}">
              <a16:creationId xmlns:a16="http://schemas.microsoft.com/office/drawing/2014/main" id="{4AD838FD-F0BA-35B0-B6F6-5EB4FB5CAAE6}"/>
            </a:ext>
          </a:extLst>
        </xdr:cNvPr>
        <xdr:cNvPicPr>
          <a:picLocks noChangeAspect="1" noChangeArrowheads="1"/>
        </xdr:cNvPicPr>
      </xdr:nvPicPr>
      <xdr:blipFill rotWithShape="1">
        <a:blip xmlns:r="http://schemas.openxmlformats.org/officeDocument/2006/relationships" r:embed="rId18" cstate="print">
          <a:extLst>
            <a:ext uri="{28A0092B-C50C-407E-A947-70E740481C1C}">
              <a14:useLocalDpi xmlns:a14="http://schemas.microsoft.com/office/drawing/2010/main" val="0"/>
            </a:ext>
          </a:extLst>
        </a:blip>
        <a:srcRect l="1739" t="7650" r="2398"/>
        <a:stretch/>
      </xdr:blipFill>
      <xdr:spPr bwMode="auto">
        <a:xfrm>
          <a:off x="584094" y="15485067"/>
          <a:ext cx="724592" cy="5433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333048</xdr:colOff>
      <xdr:row>2</xdr:row>
      <xdr:rowOff>148067</xdr:rowOff>
    </xdr:from>
    <xdr:to>
      <xdr:col>1</xdr:col>
      <xdr:colOff>768583</xdr:colOff>
      <xdr:row>5</xdr:row>
      <xdr:rowOff>101905</xdr:rowOff>
    </xdr:to>
    <xdr:pic>
      <xdr:nvPicPr>
        <xdr:cNvPr id="2" name="Imagem 1" descr="Descrição: Descrição: Descrição: Umoe Bioenergy logo">
          <a:extLst>
            <a:ext uri="{FF2B5EF4-FFF2-40B4-BE49-F238E27FC236}">
              <a16:creationId xmlns:a16="http://schemas.microsoft.com/office/drawing/2014/main" id="{6A31FEF3-2691-4CE2-ABA8-83DDDF1D6E5E}"/>
            </a:ext>
          </a:extLst>
        </xdr:cNvPr>
        <xdr:cNvPicPr/>
      </xdr:nvPicPr>
      <xdr:blipFill>
        <a:blip xmlns:r="http://schemas.openxmlformats.org/officeDocument/2006/relationships" r:embed="rId1">
          <a:alphaModFix amt="35000"/>
          <a:extLst>
            <a:ext uri="{28A0092B-C50C-407E-A947-70E740481C1C}">
              <a14:useLocalDpi xmlns:a14="http://schemas.microsoft.com/office/drawing/2010/main" val="0"/>
            </a:ext>
          </a:extLst>
        </a:blip>
        <a:srcRect/>
        <a:stretch>
          <a:fillRect/>
        </a:stretch>
      </xdr:blipFill>
      <xdr:spPr bwMode="auto">
        <a:xfrm>
          <a:off x="336223" y="192517"/>
          <a:ext cx="851460" cy="804738"/>
        </a:xfrm>
        <a:prstGeom prst="rect">
          <a:avLst/>
        </a:prstGeom>
        <a:noFill/>
        <a:ln>
          <a:noFill/>
        </a:ln>
      </xdr:spPr>
    </xdr:pic>
    <xdr:clientData/>
  </xdr:twoCellAnchor>
  <xdr:twoCellAnchor editAs="oneCell">
    <xdr:from>
      <xdr:col>6</xdr:col>
      <xdr:colOff>106016</xdr:colOff>
      <xdr:row>9</xdr:row>
      <xdr:rowOff>121919</xdr:rowOff>
    </xdr:from>
    <xdr:to>
      <xdr:col>6</xdr:col>
      <xdr:colOff>864856</xdr:colOff>
      <xdr:row>10</xdr:row>
      <xdr:rowOff>216376</xdr:rowOff>
    </xdr:to>
    <xdr:pic>
      <xdr:nvPicPr>
        <xdr:cNvPr id="3" name="Imagem 2" descr="Confira 16 opções de picapes e furgões para pegar no batente - Motor Show">
          <a:extLst>
            <a:ext uri="{FF2B5EF4-FFF2-40B4-BE49-F238E27FC236}">
              <a16:creationId xmlns:a16="http://schemas.microsoft.com/office/drawing/2014/main" id="{DF42F887-96EE-4B72-AB04-2AD1473CFB67}"/>
            </a:ext>
          </a:extLst>
        </xdr:cNvPr>
        <xdr:cNvPicPr>
          <a:picLocks noChangeAspect="1" noChangeArrowheads="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313" r="98906">
                      <a14:foregroundMark x1="10234" y1="41528" x2="10234" y2="41528"/>
                      <a14:foregroundMark x1="98984" y1="35694" x2="98984" y2="35694"/>
                      <a14:foregroundMark x1="313" y1="59028" x2="313" y2="59028"/>
                    </a14:backgroundRemoval>
                  </a14:imgEffect>
                </a14:imgLayer>
              </a14:imgProps>
            </a:ext>
            <a:ext uri="{28A0092B-C50C-407E-A947-70E740481C1C}">
              <a14:useLocalDpi xmlns:a14="http://schemas.microsoft.com/office/drawing/2010/main" val="0"/>
            </a:ext>
          </a:extLst>
        </a:blip>
        <a:srcRect/>
        <a:stretch>
          <a:fillRect/>
        </a:stretch>
      </xdr:blipFill>
      <xdr:spPr bwMode="auto">
        <a:xfrm>
          <a:off x="5236816" y="2277744"/>
          <a:ext cx="762015" cy="4056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51</xdr:col>
      <xdr:colOff>480967</xdr:colOff>
      <xdr:row>9</xdr:row>
      <xdr:rowOff>137412</xdr:rowOff>
    </xdr:from>
    <xdr:to>
      <xdr:col>51</xdr:col>
      <xdr:colOff>1211217</xdr:colOff>
      <xdr:row>10</xdr:row>
      <xdr:rowOff>216629</xdr:rowOff>
    </xdr:to>
    <xdr:pic>
      <xdr:nvPicPr>
        <xdr:cNvPr id="4" name="Imagem 3" descr="Confira 16 opções de picapes e furgões para pegar no batente - Motor Show">
          <a:extLst>
            <a:ext uri="{FF2B5EF4-FFF2-40B4-BE49-F238E27FC236}">
              <a16:creationId xmlns:a16="http://schemas.microsoft.com/office/drawing/2014/main" id="{A825D146-4EC1-45BA-BE32-90C17ADA286F}"/>
            </a:ext>
          </a:extLst>
        </xdr:cNvPr>
        <xdr:cNvPicPr>
          <a:picLocks noChangeAspect="1" noChangeArrowheads="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backgroundRemoval t="10000" b="90000" l="313" r="98906">
                      <a14:foregroundMark x1="10234" y1="41528" x2="10234" y2="41528"/>
                      <a14:foregroundMark x1="98984" y1="35694" x2="98984" y2="35694"/>
                      <a14:foregroundMark x1="313" y1="59028" x2="313" y2="59028"/>
                    </a14:backgroundRemoval>
                  </a14:imgEffect>
                </a14:imgLayer>
              </a14:imgProps>
            </a:ext>
            <a:ext uri="{28A0092B-C50C-407E-A947-70E740481C1C}">
              <a14:useLocalDpi xmlns:a14="http://schemas.microsoft.com/office/drawing/2010/main" val="0"/>
            </a:ext>
          </a:extLst>
        </a:blip>
        <a:srcRect/>
        <a:stretch>
          <a:fillRect/>
        </a:stretch>
      </xdr:blipFill>
      <xdr:spPr bwMode="auto">
        <a:xfrm>
          <a:off x="36822017" y="2293237"/>
          <a:ext cx="727075" cy="3903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52</xdr:col>
      <xdr:colOff>69774</xdr:colOff>
      <xdr:row>4</xdr:row>
      <xdr:rowOff>134766</xdr:rowOff>
    </xdr:from>
    <xdr:to>
      <xdr:col>53</xdr:col>
      <xdr:colOff>139963</xdr:colOff>
      <xdr:row>5</xdr:row>
      <xdr:rowOff>228429</xdr:rowOff>
    </xdr:to>
    <xdr:pic>
      <xdr:nvPicPr>
        <xdr:cNvPr id="5" name="Imagem 4" descr="Confira 16 opções de picapes e furgões para pegar no batente - Motor Show">
          <a:extLst>
            <a:ext uri="{FF2B5EF4-FFF2-40B4-BE49-F238E27FC236}">
              <a16:creationId xmlns:a16="http://schemas.microsoft.com/office/drawing/2014/main" id="{A09CACF6-3332-4C43-8C41-CEF43760403F}"/>
            </a:ext>
          </a:extLst>
        </xdr:cNvPr>
        <xdr:cNvPicPr>
          <a:picLocks noChangeAspect="1" noChangeArrowheads="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313" r="98906">
                      <a14:foregroundMark x1="10234" y1="41528" x2="10234" y2="41528"/>
                      <a14:foregroundMark x1="98984" y1="35694" x2="98984" y2="35694"/>
                      <a14:foregroundMark x1="313" y1="59028" x2="313" y2="59028"/>
                    </a14:backgroundRemoval>
                  </a14:imgEffect>
                </a14:imgLayer>
              </a14:imgProps>
            </a:ext>
            <a:ext uri="{28A0092B-C50C-407E-A947-70E740481C1C}">
              <a14:useLocalDpi xmlns:a14="http://schemas.microsoft.com/office/drawing/2010/main" val="0"/>
            </a:ext>
          </a:extLst>
        </a:blip>
        <a:srcRect/>
        <a:stretch>
          <a:fillRect/>
        </a:stretch>
      </xdr:blipFill>
      <xdr:spPr bwMode="auto">
        <a:xfrm>
          <a:off x="37718924" y="734841"/>
          <a:ext cx="740114" cy="3889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63</xdr:col>
      <xdr:colOff>496355</xdr:colOff>
      <xdr:row>26</xdr:row>
      <xdr:rowOff>190212</xdr:rowOff>
    </xdr:from>
    <xdr:to>
      <xdr:col>63</xdr:col>
      <xdr:colOff>1222184</xdr:colOff>
      <xdr:row>29</xdr:row>
      <xdr:rowOff>2673</xdr:rowOff>
    </xdr:to>
    <xdr:pic>
      <xdr:nvPicPr>
        <xdr:cNvPr id="6" name="Imagem 5" descr="Confira 16 opções de picapes e furgões para pegar no batente - Motor Show">
          <a:extLst>
            <a:ext uri="{FF2B5EF4-FFF2-40B4-BE49-F238E27FC236}">
              <a16:creationId xmlns:a16="http://schemas.microsoft.com/office/drawing/2014/main" id="{C5D24FAB-2EAA-4FBF-8C0C-6643A5007AC1}"/>
            </a:ext>
          </a:extLst>
        </xdr:cNvPr>
        <xdr:cNvPicPr>
          <a:picLocks noChangeAspect="1" noChangeArrowheads="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313" r="98906">
                      <a14:foregroundMark x1="10234" y1="41528" x2="10234" y2="41528"/>
                      <a14:foregroundMark x1="98984" y1="35694" x2="98984" y2="35694"/>
                      <a14:foregroundMark x1="313" y1="59028" x2="313" y2="59028"/>
                    </a14:backgroundRemoval>
                  </a14:imgEffect>
                </a14:imgLayer>
              </a14:imgProps>
            </a:ext>
            <a:ext uri="{28A0092B-C50C-407E-A947-70E740481C1C}">
              <a14:useLocalDpi xmlns:a14="http://schemas.microsoft.com/office/drawing/2010/main" val="0"/>
            </a:ext>
          </a:extLst>
        </a:blip>
        <a:srcRect/>
        <a:stretch>
          <a:fillRect/>
        </a:stretch>
      </xdr:blipFill>
      <xdr:spPr bwMode="auto">
        <a:xfrm>
          <a:off x="45311480" y="7953087"/>
          <a:ext cx="725829" cy="4315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854871</xdr:colOff>
      <xdr:row>13</xdr:row>
      <xdr:rowOff>210228</xdr:rowOff>
    </xdr:from>
    <xdr:to>
      <xdr:col>3</xdr:col>
      <xdr:colOff>506982</xdr:colOff>
      <xdr:row>14</xdr:row>
      <xdr:rowOff>370565</xdr:rowOff>
    </xdr:to>
    <xdr:pic>
      <xdr:nvPicPr>
        <xdr:cNvPr id="7" name="Imagem 6" descr="Confira 16 opções de picapes e furgões para pegar no batente - Motor Show">
          <a:extLst>
            <a:ext uri="{FF2B5EF4-FFF2-40B4-BE49-F238E27FC236}">
              <a16:creationId xmlns:a16="http://schemas.microsoft.com/office/drawing/2014/main" id="{AA2F509A-6F19-464B-A574-B58E948781DF}"/>
            </a:ext>
          </a:extLst>
        </xdr:cNvPr>
        <xdr:cNvPicPr>
          <a:picLocks noChangeAspect="1" noChangeArrowheads="1"/>
        </xdr:cNvPicPr>
      </xdr:nvPicPr>
      <xdr:blipFill>
        <a:blip xmlns:r="http://schemas.openxmlformats.org/officeDocument/2006/relationships" r:embed="rId6" cstate="print">
          <a:extLst>
            <a:ext uri="{BEBA8EAE-BF5A-486C-A8C5-ECC9F3942E4B}">
              <a14:imgProps xmlns:a14="http://schemas.microsoft.com/office/drawing/2010/main">
                <a14:imgLayer r:embed="rId3">
                  <a14:imgEffect>
                    <a14:backgroundRemoval t="10000" b="90000" l="313" r="98906">
                      <a14:foregroundMark x1="10234" y1="41528" x2="10234" y2="41528"/>
                      <a14:foregroundMark x1="98984" y1="35694" x2="98984" y2="35694"/>
                      <a14:foregroundMark x1="313" y1="59028" x2="313" y2="59028"/>
                    </a14:backgroundRemoval>
                  </a14:imgEffect>
                </a14:imgLayer>
              </a14:imgProps>
            </a:ext>
            <a:ext uri="{28A0092B-C50C-407E-A947-70E740481C1C}">
              <a14:useLocalDpi xmlns:a14="http://schemas.microsoft.com/office/drawing/2010/main" val="0"/>
            </a:ext>
          </a:extLst>
        </a:blip>
        <a:srcRect/>
        <a:stretch>
          <a:fillRect/>
        </a:stretch>
      </xdr:blipFill>
      <xdr:spPr bwMode="auto">
        <a:xfrm>
          <a:off x="2521746" y="3572553"/>
          <a:ext cx="785586" cy="4175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1123260</xdr:colOff>
      <xdr:row>13</xdr:row>
      <xdr:rowOff>227352</xdr:rowOff>
    </xdr:from>
    <xdr:to>
      <xdr:col>7</xdr:col>
      <xdr:colOff>574015</xdr:colOff>
      <xdr:row>14</xdr:row>
      <xdr:rowOff>399754</xdr:rowOff>
    </xdr:to>
    <xdr:pic>
      <xdr:nvPicPr>
        <xdr:cNvPr id="8" name="Imagem 7" descr="Confira 16 opções de picapes e furgões para pegar no batente - Motor Show">
          <a:extLst>
            <a:ext uri="{FF2B5EF4-FFF2-40B4-BE49-F238E27FC236}">
              <a16:creationId xmlns:a16="http://schemas.microsoft.com/office/drawing/2014/main" id="{7E77ED84-F2B3-445E-A00E-F45AA89F2559}"/>
            </a:ext>
          </a:extLst>
        </xdr:cNvPr>
        <xdr:cNvPicPr>
          <a:picLocks noChangeAspect="1" noChangeArrowheads="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313" r="98906">
                      <a14:foregroundMark x1="10234" y1="41528" x2="10234" y2="41528"/>
                      <a14:foregroundMark x1="98984" y1="35694" x2="98984" y2="35694"/>
                      <a14:foregroundMark x1="313" y1="59028" x2="313" y2="59028"/>
                    </a14:backgroundRemoval>
                  </a14:imgEffect>
                </a14:imgLayer>
              </a14:imgProps>
            </a:ext>
            <a:ext uri="{28A0092B-C50C-407E-A947-70E740481C1C}">
              <a14:useLocalDpi xmlns:a14="http://schemas.microsoft.com/office/drawing/2010/main" val="0"/>
            </a:ext>
          </a:extLst>
        </a:blip>
        <a:srcRect/>
        <a:stretch>
          <a:fillRect/>
        </a:stretch>
      </xdr:blipFill>
      <xdr:spPr bwMode="auto">
        <a:xfrm>
          <a:off x="6257235" y="3589677"/>
          <a:ext cx="765205" cy="4295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637494</xdr:colOff>
      <xdr:row>13</xdr:row>
      <xdr:rowOff>237386</xdr:rowOff>
    </xdr:from>
    <xdr:to>
      <xdr:col>22</xdr:col>
      <xdr:colOff>86951</xdr:colOff>
      <xdr:row>14</xdr:row>
      <xdr:rowOff>390103</xdr:rowOff>
    </xdr:to>
    <xdr:pic>
      <xdr:nvPicPr>
        <xdr:cNvPr id="9" name="Imagem 8" descr="Confira 16 opções de picapes e furgões para pegar no batente - Motor Show">
          <a:extLst>
            <a:ext uri="{FF2B5EF4-FFF2-40B4-BE49-F238E27FC236}">
              <a16:creationId xmlns:a16="http://schemas.microsoft.com/office/drawing/2014/main" id="{F22E9C5B-4B3A-4725-AB68-71CA1607E306}"/>
            </a:ext>
          </a:extLst>
        </xdr:cNvPr>
        <xdr:cNvPicPr>
          <a:picLocks noChangeAspect="1" noChangeArrowheads="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313" r="98906">
                      <a14:foregroundMark x1="10234" y1="41528" x2="10234" y2="41528"/>
                      <a14:foregroundMark x1="98984" y1="35694" x2="98984" y2="35694"/>
                      <a14:foregroundMark x1="313" y1="59028" x2="313" y2="59028"/>
                    </a14:backgroundRemoval>
                  </a14:imgEffect>
                </a14:imgLayer>
              </a14:imgProps>
            </a:ext>
            <a:ext uri="{28A0092B-C50C-407E-A947-70E740481C1C}">
              <a14:useLocalDpi xmlns:a14="http://schemas.microsoft.com/office/drawing/2010/main" val="0"/>
            </a:ext>
          </a:extLst>
        </a:blip>
        <a:srcRect/>
        <a:stretch>
          <a:fillRect/>
        </a:stretch>
      </xdr:blipFill>
      <xdr:spPr bwMode="auto">
        <a:xfrm>
          <a:off x="16109269" y="3602886"/>
          <a:ext cx="760732" cy="4067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1059863</xdr:colOff>
      <xdr:row>13</xdr:row>
      <xdr:rowOff>240634</xdr:rowOff>
    </xdr:from>
    <xdr:to>
      <xdr:col>13</xdr:col>
      <xdr:colOff>507910</xdr:colOff>
      <xdr:row>14</xdr:row>
      <xdr:rowOff>400971</xdr:rowOff>
    </xdr:to>
    <xdr:pic>
      <xdr:nvPicPr>
        <xdr:cNvPr id="10" name="Imagem 9" descr="Confira 16 opções de picapes e furgões para pegar no batente - Motor Show">
          <a:extLst>
            <a:ext uri="{FF2B5EF4-FFF2-40B4-BE49-F238E27FC236}">
              <a16:creationId xmlns:a16="http://schemas.microsoft.com/office/drawing/2014/main" id="{43D8D61D-52A7-4B92-B680-EA2A33E7CC2E}"/>
            </a:ext>
          </a:extLst>
        </xdr:cNvPr>
        <xdr:cNvPicPr>
          <a:picLocks noChangeAspect="1" noChangeArrowheads="1"/>
        </xdr:cNvPicPr>
      </xdr:nvPicPr>
      <xdr:blipFill>
        <a:blip xmlns:r="http://schemas.openxmlformats.org/officeDocument/2006/relationships" r:embed="rId6" cstate="print">
          <a:extLst>
            <a:ext uri="{BEBA8EAE-BF5A-486C-A8C5-ECC9F3942E4B}">
              <a14:imgProps xmlns:a14="http://schemas.microsoft.com/office/drawing/2010/main">
                <a14:imgLayer r:embed="rId3">
                  <a14:imgEffect>
                    <a14:backgroundRemoval t="10000" b="90000" l="313" r="98906">
                      <a14:foregroundMark x1="10234" y1="41528" x2="10234" y2="41528"/>
                      <a14:foregroundMark x1="98984" y1="35694" x2="98984" y2="35694"/>
                      <a14:foregroundMark x1="313" y1="59028" x2="313" y2="59028"/>
                    </a14:backgroundRemoval>
                  </a14:imgEffect>
                </a14:imgLayer>
              </a14:imgProps>
            </a:ext>
            <a:ext uri="{28A0092B-C50C-407E-A947-70E740481C1C}">
              <a14:useLocalDpi xmlns:a14="http://schemas.microsoft.com/office/drawing/2010/main" val="0"/>
            </a:ext>
          </a:extLst>
        </a:blip>
        <a:srcRect/>
        <a:stretch>
          <a:fillRect/>
        </a:stretch>
      </xdr:blipFill>
      <xdr:spPr bwMode="auto">
        <a:xfrm>
          <a:off x="10324513" y="3599784"/>
          <a:ext cx="765672" cy="4206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1109106</xdr:colOff>
      <xdr:row>9</xdr:row>
      <xdr:rowOff>75407</xdr:rowOff>
    </xdr:from>
    <xdr:to>
      <xdr:col>7</xdr:col>
      <xdr:colOff>591670</xdr:colOff>
      <xdr:row>10</xdr:row>
      <xdr:rowOff>218683</xdr:rowOff>
    </xdr:to>
    <xdr:pic>
      <xdr:nvPicPr>
        <xdr:cNvPr id="11" name="Imagem 10" descr="CURSO COMPLETO DE OPERADOR DE CAMINHÃO MUNCK ONLINE - Grupo CPV Treinamentos">
          <a:extLst>
            <a:ext uri="{FF2B5EF4-FFF2-40B4-BE49-F238E27FC236}">
              <a16:creationId xmlns:a16="http://schemas.microsoft.com/office/drawing/2014/main" id="{75813FF6-EDA2-42B7-AA4C-DCE2AE384BF4}"/>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6090" r="10257" b="4762"/>
        <a:stretch/>
      </xdr:blipFill>
      <xdr:spPr bwMode="auto">
        <a:xfrm flipH="1">
          <a:off x="6246256" y="2228057"/>
          <a:ext cx="793839" cy="45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667507</xdr:colOff>
      <xdr:row>20</xdr:row>
      <xdr:rowOff>589934</xdr:rowOff>
    </xdr:from>
    <xdr:to>
      <xdr:col>12</xdr:col>
      <xdr:colOff>1307761</xdr:colOff>
      <xdr:row>21</xdr:row>
      <xdr:rowOff>362659</xdr:rowOff>
    </xdr:to>
    <xdr:pic>
      <xdr:nvPicPr>
        <xdr:cNvPr id="12" name="Imagem 11" descr="CARRO OFICINA ANDRADE">
          <a:extLst>
            <a:ext uri="{FF2B5EF4-FFF2-40B4-BE49-F238E27FC236}">
              <a16:creationId xmlns:a16="http://schemas.microsoft.com/office/drawing/2014/main" id="{ED32BB22-0A32-4762-AAFA-1646A0ACBE54}"/>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11374" t="2434" r="10875" b="2060"/>
        <a:stretch/>
      </xdr:blipFill>
      <xdr:spPr bwMode="auto">
        <a:xfrm>
          <a:off x="9935332" y="6019184"/>
          <a:ext cx="640254" cy="515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254225</xdr:colOff>
      <xdr:row>20</xdr:row>
      <xdr:rowOff>582675</xdr:rowOff>
    </xdr:from>
    <xdr:ext cx="638922" cy="523875"/>
    <xdr:pic>
      <xdr:nvPicPr>
        <xdr:cNvPr id="13" name="Imagem 12" descr="CARRO OFICINA ANDRADE">
          <a:extLst>
            <a:ext uri="{FF2B5EF4-FFF2-40B4-BE49-F238E27FC236}">
              <a16:creationId xmlns:a16="http://schemas.microsoft.com/office/drawing/2014/main" id="{99539A3A-C334-45B5-A76D-B138E6279E28}"/>
            </a:ext>
          </a:extLst>
        </xdr:cNvPr>
        <xdr:cNvPicPr>
          <a:picLocks noChangeAspect="1" noChangeArrowheads="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11374" t="2434" r="10875" b="2060"/>
        <a:stretch/>
      </xdr:blipFill>
      <xdr:spPr bwMode="auto">
        <a:xfrm>
          <a:off x="5391375" y="6008750"/>
          <a:ext cx="638922" cy="5238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256989</xdr:colOff>
      <xdr:row>20</xdr:row>
      <xdr:rowOff>293484</xdr:rowOff>
    </xdr:from>
    <xdr:ext cx="551794" cy="452436"/>
    <xdr:pic>
      <xdr:nvPicPr>
        <xdr:cNvPr id="14" name="Imagem 13" descr="CARRO OFICINA ANDRADE">
          <a:extLst>
            <a:ext uri="{FF2B5EF4-FFF2-40B4-BE49-F238E27FC236}">
              <a16:creationId xmlns:a16="http://schemas.microsoft.com/office/drawing/2014/main" id="{91FA3CF8-13C8-4C5E-94F4-8190EA8DD151}"/>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11374" t="2434" r="10875" b="2060"/>
        <a:stretch/>
      </xdr:blipFill>
      <xdr:spPr bwMode="auto">
        <a:xfrm>
          <a:off x="679264" y="5725909"/>
          <a:ext cx="551794" cy="4524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296976</xdr:colOff>
      <xdr:row>20</xdr:row>
      <xdr:rowOff>290794</xdr:rowOff>
    </xdr:from>
    <xdr:ext cx="551794" cy="452436"/>
    <xdr:pic>
      <xdr:nvPicPr>
        <xdr:cNvPr id="15" name="Imagem 14" descr="CARRO OFICINA ANDRADE">
          <a:extLst>
            <a:ext uri="{FF2B5EF4-FFF2-40B4-BE49-F238E27FC236}">
              <a16:creationId xmlns:a16="http://schemas.microsoft.com/office/drawing/2014/main" id="{700EA2DA-9F12-4978-96B4-95222CF2D944}"/>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11374" t="2434" r="10875" b="2060"/>
        <a:stretch/>
      </xdr:blipFill>
      <xdr:spPr bwMode="auto">
        <a:xfrm>
          <a:off x="1960676" y="5723219"/>
          <a:ext cx="551794" cy="4524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274184</xdr:colOff>
      <xdr:row>20</xdr:row>
      <xdr:rowOff>273104</xdr:rowOff>
    </xdr:from>
    <xdr:ext cx="551794" cy="452436"/>
    <xdr:pic>
      <xdr:nvPicPr>
        <xdr:cNvPr id="16" name="Imagem 15" descr="CARRO OFICINA ANDRADE">
          <a:extLst>
            <a:ext uri="{FF2B5EF4-FFF2-40B4-BE49-F238E27FC236}">
              <a16:creationId xmlns:a16="http://schemas.microsoft.com/office/drawing/2014/main" id="{04D7CFB5-EBF9-4717-8491-F6C4B3A7663C}"/>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11374" t="2434" r="10875" b="2060"/>
        <a:stretch/>
      </xdr:blipFill>
      <xdr:spPr bwMode="auto">
        <a:xfrm>
          <a:off x="4211184" y="5705529"/>
          <a:ext cx="551794" cy="4524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xdr:col>
      <xdr:colOff>690289</xdr:colOff>
      <xdr:row>24</xdr:row>
      <xdr:rowOff>248238</xdr:rowOff>
    </xdr:from>
    <xdr:to>
      <xdr:col>3</xdr:col>
      <xdr:colOff>293442</xdr:colOff>
      <xdr:row>25</xdr:row>
      <xdr:rowOff>30751</xdr:rowOff>
    </xdr:to>
    <xdr:pic>
      <xdr:nvPicPr>
        <xdr:cNvPr id="17" name="Imagem 16" descr="Confira 16 opções de picapes e furgões para pegar no batente - Motor Show">
          <a:extLst>
            <a:ext uri="{FF2B5EF4-FFF2-40B4-BE49-F238E27FC236}">
              <a16:creationId xmlns:a16="http://schemas.microsoft.com/office/drawing/2014/main" id="{37C3649A-613F-487A-9D43-53F536A4E0BB}"/>
            </a:ext>
          </a:extLst>
        </xdr:cNvPr>
        <xdr:cNvPicPr>
          <a:picLocks noChangeAspect="1" noChangeArrowheads="1"/>
        </xdr:cNvPicPr>
      </xdr:nvPicPr>
      <xdr:blipFill>
        <a:blip xmlns:r="http://schemas.openxmlformats.org/officeDocument/2006/relationships" r:embed="rId6" cstate="print">
          <a:extLst>
            <a:ext uri="{BEBA8EAE-BF5A-486C-A8C5-ECC9F3942E4B}">
              <a14:imgProps xmlns:a14="http://schemas.microsoft.com/office/drawing/2010/main">
                <a14:imgLayer r:embed="rId3">
                  <a14:imgEffect>
                    <a14:backgroundRemoval t="10000" b="90000" l="313" r="98906">
                      <a14:foregroundMark x1="10234" y1="41528" x2="10234" y2="41528"/>
                      <a14:foregroundMark x1="98984" y1="35694" x2="98984" y2="35694"/>
                      <a14:foregroundMark x1="313" y1="59028" x2="313" y2="59028"/>
                    </a14:backgroundRemoval>
                  </a14:imgEffect>
                </a14:imgLayer>
              </a14:imgProps>
            </a:ext>
            <a:ext uri="{28A0092B-C50C-407E-A947-70E740481C1C}">
              <a14:useLocalDpi xmlns:a14="http://schemas.microsoft.com/office/drawing/2010/main" val="0"/>
            </a:ext>
          </a:extLst>
        </a:blip>
        <a:srcRect/>
        <a:stretch>
          <a:fillRect/>
        </a:stretch>
      </xdr:blipFill>
      <xdr:spPr bwMode="auto">
        <a:xfrm>
          <a:off x="2360339" y="7172913"/>
          <a:ext cx="733453" cy="4206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1058879</xdr:colOff>
      <xdr:row>29</xdr:row>
      <xdr:rowOff>331031</xdr:rowOff>
    </xdr:from>
    <xdr:to>
      <xdr:col>4</xdr:col>
      <xdr:colOff>818545</xdr:colOff>
      <xdr:row>31</xdr:row>
      <xdr:rowOff>7457</xdr:rowOff>
    </xdr:to>
    <xdr:pic>
      <xdr:nvPicPr>
        <xdr:cNvPr id="18" name="Imagem 17" descr="Caminhão Comboio a Venda Direto da Fábrica">
          <a:extLst>
            <a:ext uri="{FF2B5EF4-FFF2-40B4-BE49-F238E27FC236}">
              <a16:creationId xmlns:a16="http://schemas.microsoft.com/office/drawing/2014/main" id="{44E86572-D5B3-4001-8D6C-21F7159CA16B}"/>
            </a:ext>
          </a:extLst>
        </xdr:cNvPr>
        <xdr:cNvPicPr>
          <a:picLocks noChangeAspect="1" noChangeArrowheads="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t="17750" b="16501"/>
        <a:stretch/>
      </xdr:blipFill>
      <xdr:spPr bwMode="auto">
        <a:xfrm>
          <a:off x="3856054" y="8716206"/>
          <a:ext cx="896316" cy="5590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577927</xdr:colOff>
      <xdr:row>29</xdr:row>
      <xdr:rowOff>306199</xdr:rowOff>
    </xdr:from>
    <xdr:to>
      <xdr:col>2</xdr:col>
      <xdr:colOff>220401</xdr:colOff>
      <xdr:row>31</xdr:row>
      <xdr:rowOff>7080</xdr:rowOff>
    </xdr:to>
    <xdr:pic>
      <xdr:nvPicPr>
        <xdr:cNvPr id="19" name="Imagem 18" descr="Caminhão Comboio a Venda Direto da Fábrica">
          <a:extLst>
            <a:ext uri="{FF2B5EF4-FFF2-40B4-BE49-F238E27FC236}">
              <a16:creationId xmlns:a16="http://schemas.microsoft.com/office/drawing/2014/main" id="{8D161E2B-A063-407B-ADCC-902545353824}"/>
            </a:ext>
          </a:extLst>
        </xdr:cNvPr>
        <xdr:cNvPicPr>
          <a:picLocks noChangeAspect="1" noChangeArrowheads="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t="17750" b="16501"/>
        <a:stretch/>
      </xdr:blipFill>
      <xdr:spPr bwMode="auto">
        <a:xfrm>
          <a:off x="1000202" y="8688199"/>
          <a:ext cx="887074" cy="5867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666526</xdr:colOff>
      <xdr:row>29</xdr:row>
      <xdr:rowOff>303427</xdr:rowOff>
    </xdr:from>
    <xdr:to>
      <xdr:col>10</xdr:col>
      <xdr:colOff>238066</xdr:colOff>
      <xdr:row>30</xdr:row>
      <xdr:rowOff>226708</xdr:rowOff>
    </xdr:to>
    <xdr:pic>
      <xdr:nvPicPr>
        <xdr:cNvPr id="20" name="Imagem 19" descr="Caminhão Comboio a Venda Direto da Fábrica">
          <a:extLst>
            <a:ext uri="{FF2B5EF4-FFF2-40B4-BE49-F238E27FC236}">
              <a16:creationId xmlns:a16="http://schemas.microsoft.com/office/drawing/2014/main" id="{C57A9470-8E8E-43F7-94C1-FE55700770B7}"/>
            </a:ext>
          </a:extLst>
        </xdr:cNvPr>
        <xdr:cNvPicPr>
          <a:picLocks noChangeAspect="1" noChangeArrowheads="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t="17750" b="16501"/>
        <a:stretch/>
      </xdr:blipFill>
      <xdr:spPr bwMode="auto">
        <a:xfrm>
          <a:off x="7867426" y="8685427"/>
          <a:ext cx="885990" cy="56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63</xdr:col>
      <xdr:colOff>115639</xdr:colOff>
      <xdr:row>32</xdr:row>
      <xdr:rowOff>177410</xdr:rowOff>
    </xdr:from>
    <xdr:to>
      <xdr:col>63</xdr:col>
      <xdr:colOff>973081</xdr:colOff>
      <xdr:row>35</xdr:row>
      <xdr:rowOff>111246</xdr:rowOff>
    </xdr:to>
    <xdr:pic>
      <xdr:nvPicPr>
        <xdr:cNvPr id="21" name="Imagem 20" descr="Confira 16 opções de picapes e furgões para pegar no batente - Motor Show">
          <a:extLst>
            <a:ext uri="{FF2B5EF4-FFF2-40B4-BE49-F238E27FC236}">
              <a16:creationId xmlns:a16="http://schemas.microsoft.com/office/drawing/2014/main" id="{E770956C-9F25-40C0-974C-B253E2A69B3A}"/>
            </a:ext>
          </a:extLst>
        </xdr:cNvPr>
        <xdr:cNvPicPr>
          <a:picLocks noChangeAspect="1" noChangeArrowheads="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313" r="98906">
                      <a14:foregroundMark x1="10234" y1="41528" x2="10234" y2="41528"/>
                      <a14:foregroundMark x1="98984" y1="35694" x2="98984" y2="35694"/>
                      <a14:foregroundMark x1="313" y1="59028" x2="313" y2="59028"/>
                    </a14:backgroundRemoval>
                  </a14:imgEffect>
                </a14:imgLayer>
              </a14:imgProps>
            </a:ext>
            <a:ext uri="{28A0092B-C50C-407E-A947-70E740481C1C}">
              <a14:useLocalDpi xmlns:a14="http://schemas.microsoft.com/office/drawing/2010/main" val="0"/>
            </a:ext>
          </a:extLst>
        </a:blip>
        <a:srcRect/>
        <a:stretch>
          <a:fillRect/>
        </a:stretch>
      </xdr:blipFill>
      <xdr:spPr bwMode="auto">
        <a:xfrm>
          <a:off x="44930764" y="9686535"/>
          <a:ext cx="857442" cy="4259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45</xdr:col>
      <xdr:colOff>71196</xdr:colOff>
      <xdr:row>32</xdr:row>
      <xdr:rowOff>63616</xdr:rowOff>
    </xdr:from>
    <xdr:to>
      <xdr:col>45</xdr:col>
      <xdr:colOff>904131</xdr:colOff>
      <xdr:row>35</xdr:row>
      <xdr:rowOff>158922</xdr:rowOff>
    </xdr:to>
    <xdr:pic>
      <xdr:nvPicPr>
        <xdr:cNvPr id="22" name="Imagem 21" descr="Tratores Puma 200, 215, 230 - Bugio Tratores">
          <a:extLst>
            <a:ext uri="{FF2B5EF4-FFF2-40B4-BE49-F238E27FC236}">
              <a16:creationId xmlns:a16="http://schemas.microsoft.com/office/drawing/2014/main" id="{E1720770-989E-4F84-973D-4B472179D868}"/>
            </a:ext>
          </a:extLst>
        </xdr:cNvPr>
        <xdr:cNvPicPr>
          <a:picLocks noChangeAspect="1" noChangeArrowheads="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l="1739" t="7650" r="2398"/>
        <a:stretch/>
      </xdr:blipFill>
      <xdr:spPr bwMode="auto">
        <a:xfrm>
          <a:off x="32119646" y="9572741"/>
          <a:ext cx="836110" cy="587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92309</xdr:colOff>
      <xdr:row>49</xdr:row>
      <xdr:rowOff>7795</xdr:rowOff>
    </xdr:from>
    <xdr:to>
      <xdr:col>1</xdr:col>
      <xdr:colOff>892927</xdr:colOff>
      <xdr:row>52</xdr:row>
      <xdr:rowOff>112335</xdr:rowOff>
    </xdr:to>
    <xdr:pic>
      <xdr:nvPicPr>
        <xdr:cNvPr id="23" name="Imagem 22" descr="Colheitadeira – A8810 Multi-Row – Risa Máquinas">
          <a:extLst>
            <a:ext uri="{FF2B5EF4-FFF2-40B4-BE49-F238E27FC236}">
              <a16:creationId xmlns:a16="http://schemas.microsoft.com/office/drawing/2014/main" id="{DFCBD19F-6C63-4297-8B9A-4A38A458A0B6}"/>
            </a:ext>
          </a:extLst>
        </xdr:cNvPr>
        <xdr:cNvPicPr>
          <a:picLocks noChangeAspect="1" noChangeArrowheads="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1815" t="21682" r="7290" b="14876"/>
        <a:stretch/>
      </xdr:blipFill>
      <xdr:spPr bwMode="auto">
        <a:xfrm>
          <a:off x="511409" y="12603020"/>
          <a:ext cx="800618" cy="5585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39356</xdr:colOff>
      <xdr:row>32</xdr:row>
      <xdr:rowOff>65147</xdr:rowOff>
    </xdr:from>
    <xdr:to>
      <xdr:col>36</xdr:col>
      <xdr:colOff>973581</xdr:colOff>
      <xdr:row>35</xdr:row>
      <xdr:rowOff>171077</xdr:rowOff>
    </xdr:to>
    <xdr:pic>
      <xdr:nvPicPr>
        <xdr:cNvPr id="24" name="Imagem 23" descr="Volvo VM 270 8×4 R - Blog do Caminhoneiro">
          <a:extLst>
            <a:ext uri="{FF2B5EF4-FFF2-40B4-BE49-F238E27FC236}">
              <a16:creationId xmlns:a16="http://schemas.microsoft.com/office/drawing/2014/main" id="{2F18E8DB-47E7-4CC8-B81D-5BEBEDB32B20}"/>
            </a:ext>
          </a:extLst>
        </xdr:cNvPr>
        <xdr:cNvPicPr>
          <a:picLocks noChangeAspect="1" noChangeArrowheads="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t="3704" r="3902" b="7148"/>
        <a:stretch/>
      </xdr:blipFill>
      <xdr:spPr bwMode="auto">
        <a:xfrm>
          <a:off x="26261681" y="9574272"/>
          <a:ext cx="934225" cy="5980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117418</xdr:colOff>
      <xdr:row>53</xdr:row>
      <xdr:rowOff>34637</xdr:rowOff>
    </xdr:from>
    <xdr:to>
      <xdr:col>1</xdr:col>
      <xdr:colOff>855345</xdr:colOff>
      <xdr:row>56</xdr:row>
      <xdr:rowOff>102018</xdr:rowOff>
    </xdr:to>
    <xdr:pic>
      <xdr:nvPicPr>
        <xdr:cNvPr id="25" name="Imagem 24" descr="Tratores Puma 200, 215, 230 - Bugio Tratores">
          <a:extLst>
            <a:ext uri="{FF2B5EF4-FFF2-40B4-BE49-F238E27FC236}">
              <a16:creationId xmlns:a16="http://schemas.microsoft.com/office/drawing/2014/main" id="{628090A3-CEA9-4115-A031-8487E65276A9}"/>
            </a:ext>
          </a:extLst>
        </xdr:cNvPr>
        <xdr:cNvPicPr>
          <a:picLocks noChangeAspect="1" noChangeArrowheads="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1739" t="7650" r="2398"/>
        <a:stretch/>
      </xdr:blipFill>
      <xdr:spPr bwMode="auto">
        <a:xfrm>
          <a:off x="536518" y="13233112"/>
          <a:ext cx="737927" cy="527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182956</xdr:colOff>
      <xdr:row>56</xdr:row>
      <xdr:rowOff>131962</xdr:rowOff>
    </xdr:from>
    <xdr:to>
      <xdr:col>1</xdr:col>
      <xdr:colOff>818013</xdr:colOff>
      <xdr:row>60</xdr:row>
      <xdr:rowOff>16995</xdr:rowOff>
    </xdr:to>
    <xdr:pic>
      <xdr:nvPicPr>
        <xdr:cNvPr id="26" name="Imagem 25" descr="Produto">
          <a:extLst>
            <a:ext uri="{FF2B5EF4-FFF2-40B4-BE49-F238E27FC236}">
              <a16:creationId xmlns:a16="http://schemas.microsoft.com/office/drawing/2014/main" id="{DF3C5026-B6C2-491D-94DD-BFA9AD01F138}"/>
            </a:ext>
          </a:extLst>
        </xdr:cNvPr>
        <xdr:cNvPicPr>
          <a:picLocks noChangeAspect="1" noChangeArrowheads="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rcRect l="23351"/>
        <a:stretch/>
      </xdr:blipFill>
      <xdr:spPr bwMode="auto">
        <a:xfrm>
          <a:off x="598881" y="13790812"/>
          <a:ext cx="638232" cy="4946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1052497</xdr:colOff>
      <xdr:row>24</xdr:row>
      <xdr:rowOff>462912</xdr:rowOff>
    </xdr:from>
    <xdr:to>
      <xdr:col>7</xdr:col>
      <xdr:colOff>493559</xdr:colOff>
      <xdr:row>26</xdr:row>
      <xdr:rowOff>17617</xdr:rowOff>
    </xdr:to>
    <xdr:pic>
      <xdr:nvPicPr>
        <xdr:cNvPr id="27" name="Imagem 26" descr="Confira 16 opções de picapes e furgões para pegar no batente - Motor Show">
          <a:extLst>
            <a:ext uri="{FF2B5EF4-FFF2-40B4-BE49-F238E27FC236}">
              <a16:creationId xmlns:a16="http://schemas.microsoft.com/office/drawing/2014/main" id="{30FAB26F-3411-4B20-AD8C-3763E817188A}"/>
            </a:ext>
          </a:extLst>
        </xdr:cNvPr>
        <xdr:cNvPicPr>
          <a:picLocks noChangeAspect="1" noChangeArrowheads="1"/>
        </xdr:cNvPicPr>
      </xdr:nvPicPr>
      <xdr:blipFill>
        <a:blip xmlns:r="http://schemas.openxmlformats.org/officeDocument/2006/relationships" r:embed="rId6" cstate="print">
          <a:extLst>
            <a:ext uri="{BEBA8EAE-BF5A-486C-A8C5-ECC9F3942E4B}">
              <a14:imgProps xmlns:a14="http://schemas.microsoft.com/office/drawing/2010/main">
                <a14:imgLayer r:embed="rId3">
                  <a14:imgEffect>
                    <a14:backgroundRemoval t="10000" b="90000" l="313" r="98906">
                      <a14:foregroundMark x1="10234" y1="41528" x2="10234" y2="41528"/>
                      <a14:foregroundMark x1="98984" y1="35694" x2="98984" y2="35694"/>
                      <a14:foregroundMark x1="313" y1="59028" x2="313" y2="59028"/>
                    </a14:backgroundRemoval>
                  </a14:imgEffect>
                </a14:imgLayer>
              </a14:imgProps>
            </a:ext>
            <a:ext uri="{28A0092B-C50C-407E-A947-70E740481C1C}">
              <a14:useLocalDpi xmlns:a14="http://schemas.microsoft.com/office/drawing/2010/main" val="0"/>
            </a:ext>
          </a:extLst>
        </a:blip>
        <a:srcRect/>
        <a:stretch>
          <a:fillRect/>
        </a:stretch>
      </xdr:blipFill>
      <xdr:spPr bwMode="auto">
        <a:xfrm>
          <a:off x="6189647" y="7390762"/>
          <a:ext cx="752337" cy="3897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54843</xdr:colOff>
      <xdr:row>36</xdr:row>
      <xdr:rowOff>134736</xdr:rowOff>
    </xdr:from>
    <xdr:to>
      <xdr:col>36</xdr:col>
      <xdr:colOff>943208</xdr:colOff>
      <xdr:row>41</xdr:row>
      <xdr:rowOff>17850</xdr:rowOff>
    </xdr:to>
    <xdr:pic>
      <xdr:nvPicPr>
        <xdr:cNvPr id="28" name="Imagem 27" descr="Rodomoura Implementos Rodoviários: Carrega Tudo 2 Eixos">
          <a:extLst>
            <a:ext uri="{FF2B5EF4-FFF2-40B4-BE49-F238E27FC236}">
              <a16:creationId xmlns:a16="http://schemas.microsoft.com/office/drawing/2014/main" id="{6F03CB51-A411-4655-970A-FC1036F3B1E7}"/>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26277168" y="10336011"/>
          <a:ext cx="888365" cy="673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134830</xdr:colOff>
      <xdr:row>60</xdr:row>
      <xdr:rowOff>39486</xdr:rowOff>
    </xdr:from>
    <xdr:to>
      <xdr:col>1</xdr:col>
      <xdr:colOff>859422</xdr:colOff>
      <xdr:row>64</xdr:row>
      <xdr:rowOff>20815</xdr:rowOff>
    </xdr:to>
    <xdr:pic>
      <xdr:nvPicPr>
        <xdr:cNvPr id="29" name="Imagem 28" descr="Tratores Puma 200, 215, 230 - Bugio Tratores">
          <a:extLst>
            <a:ext uri="{FF2B5EF4-FFF2-40B4-BE49-F238E27FC236}">
              <a16:creationId xmlns:a16="http://schemas.microsoft.com/office/drawing/2014/main" id="{8A6A4E19-0D49-4228-891C-F685C756BC55}"/>
            </a:ext>
          </a:extLst>
        </xdr:cNvPr>
        <xdr:cNvPicPr>
          <a:picLocks noChangeAspect="1" noChangeArrowheads="1"/>
        </xdr:cNvPicPr>
      </xdr:nvPicPr>
      <xdr:blipFill rotWithShape="1">
        <a:blip xmlns:r="http://schemas.openxmlformats.org/officeDocument/2006/relationships" r:embed="rId18" cstate="print">
          <a:extLst>
            <a:ext uri="{28A0092B-C50C-407E-A947-70E740481C1C}">
              <a14:useLocalDpi xmlns:a14="http://schemas.microsoft.com/office/drawing/2010/main" val="0"/>
            </a:ext>
          </a:extLst>
        </a:blip>
        <a:srcRect l="1739" t="7650" r="2398"/>
        <a:stretch/>
      </xdr:blipFill>
      <xdr:spPr bwMode="auto">
        <a:xfrm>
          <a:off x="553930" y="14307936"/>
          <a:ext cx="724592" cy="5433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108796</xdr:colOff>
      <xdr:row>72</xdr:row>
      <xdr:rowOff>38522</xdr:rowOff>
    </xdr:from>
    <xdr:to>
      <xdr:col>1</xdr:col>
      <xdr:colOff>931641</xdr:colOff>
      <xdr:row>75</xdr:row>
      <xdr:rowOff>132238</xdr:rowOff>
    </xdr:to>
    <xdr:pic>
      <xdr:nvPicPr>
        <xdr:cNvPr id="30" name="Imagem 29" descr="Caminhão Comboio a Venda Direto da Fábrica">
          <a:extLst>
            <a:ext uri="{FF2B5EF4-FFF2-40B4-BE49-F238E27FC236}">
              <a16:creationId xmlns:a16="http://schemas.microsoft.com/office/drawing/2014/main" id="{853510D1-541E-4378-9562-7C97C53A6132}"/>
            </a:ext>
          </a:extLst>
        </xdr:cNvPr>
        <xdr:cNvPicPr>
          <a:picLocks noChangeAspect="1" noChangeArrowheads="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t="17750" b="16501"/>
        <a:stretch/>
      </xdr:blipFill>
      <xdr:spPr bwMode="auto">
        <a:xfrm>
          <a:off x="524721" y="16088147"/>
          <a:ext cx="826020" cy="5509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310367</xdr:colOff>
      <xdr:row>20</xdr:row>
      <xdr:rowOff>293969</xdr:rowOff>
    </xdr:from>
    <xdr:ext cx="551794" cy="452436"/>
    <xdr:pic>
      <xdr:nvPicPr>
        <xdr:cNvPr id="31" name="Imagem 30" descr="CARRO OFICINA ANDRADE">
          <a:extLst>
            <a:ext uri="{FF2B5EF4-FFF2-40B4-BE49-F238E27FC236}">
              <a16:creationId xmlns:a16="http://schemas.microsoft.com/office/drawing/2014/main" id="{F47179EB-5103-4079-874E-CE8789C54E3B}"/>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11374" t="2434" r="10875" b="2060"/>
        <a:stretch/>
      </xdr:blipFill>
      <xdr:spPr bwMode="auto">
        <a:xfrm>
          <a:off x="3113892" y="5726394"/>
          <a:ext cx="551794" cy="4524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296976</xdr:colOff>
      <xdr:row>20</xdr:row>
      <xdr:rowOff>290794</xdr:rowOff>
    </xdr:from>
    <xdr:ext cx="551794" cy="452436"/>
    <xdr:pic>
      <xdr:nvPicPr>
        <xdr:cNvPr id="32" name="Imagem 31" descr="CARRO OFICINA ANDRADE">
          <a:extLst>
            <a:ext uri="{FF2B5EF4-FFF2-40B4-BE49-F238E27FC236}">
              <a16:creationId xmlns:a16="http://schemas.microsoft.com/office/drawing/2014/main" id="{2D7F3507-05E7-475E-A6DC-893DB287B3CA}"/>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11374" t="2434" r="10875" b="2060"/>
        <a:stretch/>
      </xdr:blipFill>
      <xdr:spPr bwMode="auto">
        <a:xfrm>
          <a:off x="3094151" y="5723219"/>
          <a:ext cx="551794" cy="4524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690289</xdr:colOff>
      <xdr:row>28</xdr:row>
      <xdr:rowOff>248238</xdr:rowOff>
    </xdr:from>
    <xdr:ext cx="737870" cy="417099"/>
    <xdr:pic>
      <xdr:nvPicPr>
        <xdr:cNvPr id="33" name="Imagem 32" descr="Confira 16 opções de picapes e furgões para pegar no batente - Motor Show">
          <a:extLst>
            <a:ext uri="{FF2B5EF4-FFF2-40B4-BE49-F238E27FC236}">
              <a16:creationId xmlns:a16="http://schemas.microsoft.com/office/drawing/2014/main" id="{7DCD38B3-C00D-4492-8888-4A442F984905}"/>
            </a:ext>
          </a:extLst>
        </xdr:cNvPr>
        <xdr:cNvPicPr>
          <a:picLocks noChangeAspect="1" noChangeArrowheads="1"/>
        </xdr:cNvPicPr>
      </xdr:nvPicPr>
      <xdr:blipFill>
        <a:blip xmlns:r="http://schemas.openxmlformats.org/officeDocument/2006/relationships" r:embed="rId6" cstate="print">
          <a:extLst>
            <a:ext uri="{BEBA8EAE-BF5A-486C-A8C5-ECC9F3942E4B}">
              <a14:imgProps xmlns:a14="http://schemas.microsoft.com/office/drawing/2010/main">
                <a14:imgLayer r:embed="rId3">
                  <a14:imgEffect>
                    <a14:backgroundRemoval t="10000" b="90000" l="313" r="98906">
                      <a14:foregroundMark x1="10234" y1="41528" x2="10234" y2="41528"/>
                      <a14:foregroundMark x1="98984" y1="35694" x2="98984" y2="35694"/>
                      <a14:foregroundMark x1="313" y1="59028" x2="313" y2="59028"/>
                    </a14:backgroundRemoval>
                  </a14:imgEffect>
                </a14:imgLayer>
              </a14:imgProps>
            </a:ext>
            <a:ext uri="{28A0092B-C50C-407E-A947-70E740481C1C}">
              <a14:useLocalDpi xmlns:a14="http://schemas.microsoft.com/office/drawing/2010/main" val="0"/>
            </a:ext>
          </a:extLst>
        </a:blip>
        <a:srcRect/>
        <a:stretch>
          <a:fillRect/>
        </a:stretch>
      </xdr:blipFill>
      <xdr:spPr bwMode="auto">
        <a:xfrm>
          <a:off x="2360339" y="8382588"/>
          <a:ext cx="737870" cy="41709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9</xdr:col>
      <xdr:colOff>156125</xdr:colOff>
      <xdr:row>13</xdr:row>
      <xdr:rowOff>104499</xdr:rowOff>
    </xdr:from>
    <xdr:to>
      <xdr:col>10</xdr:col>
      <xdr:colOff>121064</xdr:colOff>
      <xdr:row>14</xdr:row>
      <xdr:rowOff>532019</xdr:rowOff>
    </xdr:to>
    <xdr:sp macro="" textlink="">
      <xdr:nvSpPr>
        <xdr:cNvPr id="34" name="CaixaDeTexto 33">
          <a:extLst>
            <a:ext uri="{FF2B5EF4-FFF2-40B4-BE49-F238E27FC236}">
              <a16:creationId xmlns:a16="http://schemas.microsoft.com/office/drawing/2014/main" id="{98FEFCB5-51AA-4BCA-AD26-EA7A5208E29D}"/>
            </a:ext>
          </a:extLst>
        </xdr:cNvPr>
        <xdr:cNvSpPr txBox="1"/>
      </xdr:nvSpPr>
      <xdr:spPr>
        <a:xfrm>
          <a:off x="7360200" y="3469999"/>
          <a:ext cx="1279389" cy="681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a:t>MARCOS</a:t>
          </a:r>
          <a:r>
            <a:rPr lang="pt-BR" sz="1200" b="1" baseline="0"/>
            <a:t> CESAR</a:t>
          </a:r>
        </a:p>
        <a:p>
          <a:r>
            <a:rPr lang="pt-BR" sz="1200" b="1" baseline="0"/>
            <a:t>JEFERSON</a:t>
          </a:r>
        </a:p>
        <a:p>
          <a:r>
            <a:rPr lang="pt-BR" sz="1200" b="1" baseline="0"/>
            <a:t>EDIVAL</a:t>
          </a:r>
          <a:endParaRPr lang="pt-BR" sz="1200" b="1"/>
        </a:p>
      </xdr:txBody>
    </xdr:sp>
    <xdr:clientData/>
  </xdr:twoCellAnchor>
  <xdr:twoCellAnchor>
    <xdr:from>
      <xdr:col>10</xdr:col>
      <xdr:colOff>565148</xdr:colOff>
      <xdr:row>13</xdr:row>
      <xdr:rowOff>107674</xdr:rowOff>
    </xdr:from>
    <xdr:to>
      <xdr:col>12</xdr:col>
      <xdr:colOff>1027043</xdr:colOff>
      <xdr:row>14</xdr:row>
      <xdr:rowOff>532019</xdr:rowOff>
    </xdr:to>
    <xdr:sp macro="" textlink="">
      <xdr:nvSpPr>
        <xdr:cNvPr id="35" name="CaixaDeTexto 34">
          <a:extLst>
            <a:ext uri="{FF2B5EF4-FFF2-40B4-BE49-F238E27FC236}">
              <a16:creationId xmlns:a16="http://schemas.microsoft.com/office/drawing/2014/main" id="{B4CF20D9-5299-4987-A397-28CEB929E1C0}"/>
            </a:ext>
          </a:extLst>
        </xdr:cNvPr>
        <xdr:cNvSpPr txBox="1"/>
      </xdr:nvSpPr>
      <xdr:spPr>
        <a:xfrm>
          <a:off x="9077323" y="3466824"/>
          <a:ext cx="1217545" cy="684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baseline="0"/>
            <a:t>VALTER</a:t>
          </a:r>
        </a:p>
        <a:p>
          <a:endParaRPr lang="pt-BR" sz="1200" b="1" baseline="0"/>
        </a:p>
        <a:p>
          <a:r>
            <a:rPr lang="pt-BR" sz="1200" b="1" baseline="0"/>
            <a:t>JHONATAN</a:t>
          </a:r>
          <a:endParaRPr lang="pt-BR" sz="1200" b="1"/>
        </a:p>
      </xdr:txBody>
    </xdr:sp>
    <xdr:clientData/>
  </xdr:twoCellAnchor>
  <xdr:oneCellAnchor>
    <xdr:from>
      <xdr:col>9</xdr:col>
      <xdr:colOff>254225</xdr:colOff>
      <xdr:row>20</xdr:row>
      <xdr:rowOff>585851</xdr:rowOff>
    </xdr:from>
    <xdr:ext cx="638922" cy="523875"/>
    <xdr:pic>
      <xdr:nvPicPr>
        <xdr:cNvPr id="36" name="Imagem 35" descr="CARRO OFICINA ANDRADE">
          <a:extLst>
            <a:ext uri="{FF2B5EF4-FFF2-40B4-BE49-F238E27FC236}">
              <a16:creationId xmlns:a16="http://schemas.microsoft.com/office/drawing/2014/main" id="{E846B16D-C626-48F3-8BFF-0BAC92DC76C3}"/>
            </a:ext>
          </a:extLst>
        </xdr:cNvPr>
        <xdr:cNvPicPr>
          <a:picLocks noChangeAspect="1" noChangeArrowheads="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11374" t="2434" r="10875" b="2060"/>
        <a:stretch/>
      </xdr:blipFill>
      <xdr:spPr bwMode="auto">
        <a:xfrm>
          <a:off x="7458300" y="6011926"/>
          <a:ext cx="638922" cy="5238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729475</xdr:colOff>
      <xdr:row>24</xdr:row>
      <xdr:rowOff>455734</xdr:rowOff>
    </xdr:from>
    <xdr:ext cx="765321" cy="394424"/>
    <xdr:pic>
      <xdr:nvPicPr>
        <xdr:cNvPr id="37" name="Imagem 36" descr="Confira 16 opções de picapes e furgões para pegar no batente - Motor Show">
          <a:extLst>
            <a:ext uri="{FF2B5EF4-FFF2-40B4-BE49-F238E27FC236}">
              <a16:creationId xmlns:a16="http://schemas.microsoft.com/office/drawing/2014/main" id="{CB426256-8161-41B5-B918-3A6C6A346D1D}"/>
            </a:ext>
          </a:extLst>
        </xdr:cNvPr>
        <xdr:cNvPicPr>
          <a:picLocks noChangeAspect="1" noChangeArrowheads="1"/>
        </xdr:cNvPicPr>
      </xdr:nvPicPr>
      <xdr:blipFill>
        <a:blip xmlns:r="http://schemas.openxmlformats.org/officeDocument/2006/relationships" r:embed="rId6" cstate="print">
          <a:extLst>
            <a:ext uri="{BEBA8EAE-BF5A-486C-A8C5-ECC9F3942E4B}">
              <a14:imgProps xmlns:a14="http://schemas.microsoft.com/office/drawing/2010/main">
                <a14:imgLayer r:embed="rId3">
                  <a14:imgEffect>
                    <a14:backgroundRemoval t="10000" b="90000" l="313" r="98906">
                      <a14:foregroundMark x1="10234" y1="41528" x2="10234" y2="41528"/>
                      <a14:foregroundMark x1="98984" y1="35694" x2="98984" y2="35694"/>
                      <a14:foregroundMark x1="313" y1="59028" x2="313" y2="59028"/>
                    </a14:backgroundRemoval>
                  </a14:imgEffect>
                </a14:imgLayer>
              </a14:imgProps>
            </a:ext>
            <a:ext uri="{28A0092B-C50C-407E-A947-70E740481C1C}">
              <a14:useLocalDpi xmlns:a14="http://schemas.microsoft.com/office/drawing/2010/main" val="0"/>
            </a:ext>
          </a:extLst>
        </a:blip>
        <a:srcRect/>
        <a:stretch>
          <a:fillRect/>
        </a:stretch>
      </xdr:blipFill>
      <xdr:spPr bwMode="auto">
        <a:xfrm>
          <a:off x="7933550" y="7380409"/>
          <a:ext cx="765321" cy="39442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1171662</xdr:colOff>
      <xdr:row>20</xdr:row>
      <xdr:rowOff>552720</xdr:rowOff>
    </xdr:from>
    <xdr:ext cx="638922" cy="523875"/>
    <xdr:pic>
      <xdr:nvPicPr>
        <xdr:cNvPr id="38" name="Imagem 37" descr="CARRO OFICINA ANDRADE">
          <a:extLst>
            <a:ext uri="{FF2B5EF4-FFF2-40B4-BE49-F238E27FC236}">
              <a16:creationId xmlns:a16="http://schemas.microsoft.com/office/drawing/2014/main" id="{D8B3E0CF-7B05-4CFE-9FD3-8FDC5DAF1949}"/>
            </a:ext>
          </a:extLst>
        </xdr:cNvPr>
        <xdr:cNvPicPr>
          <a:picLocks noChangeAspect="1" noChangeArrowheads="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11374" t="2434" r="10875" b="2060"/>
        <a:stretch/>
      </xdr:blipFill>
      <xdr:spPr bwMode="auto">
        <a:xfrm>
          <a:off x="6302462" y="5981970"/>
          <a:ext cx="638922" cy="5238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1108575</xdr:colOff>
      <xdr:row>20</xdr:row>
      <xdr:rowOff>574393</xdr:rowOff>
    </xdr:from>
    <xdr:ext cx="638922" cy="523875"/>
    <xdr:pic>
      <xdr:nvPicPr>
        <xdr:cNvPr id="39" name="Imagem 38" descr="CARRO OFICINA ANDRADE">
          <a:extLst>
            <a:ext uri="{FF2B5EF4-FFF2-40B4-BE49-F238E27FC236}">
              <a16:creationId xmlns:a16="http://schemas.microsoft.com/office/drawing/2014/main" id="{C7679682-F79D-449E-96EA-0E23F0E1BE63}"/>
            </a:ext>
          </a:extLst>
        </xdr:cNvPr>
        <xdr:cNvPicPr>
          <a:picLocks noChangeAspect="1" noChangeArrowheads="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11374" t="2434" r="10875" b="2060"/>
        <a:stretch/>
      </xdr:blipFill>
      <xdr:spPr bwMode="auto">
        <a:xfrm>
          <a:off x="8312650" y="6003643"/>
          <a:ext cx="638922" cy="5238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637494</xdr:colOff>
      <xdr:row>13</xdr:row>
      <xdr:rowOff>237386</xdr:rowOff>
    </xdr:from>
    <xdr:ext cx="759409" cy="409315"/>
    <xdr:pic>
      <xdr:nvPicPr>
        <xdr:cNvPr id="40" name="Imagem 39" descr="Confira 16 opções de picapes e furgões para pegar no batente - Motor Show">
          <a:extLst>
            <a:ext uri="{FF2B5EF4-FFF2-40B4-BE49-F238E27FC236}">
              <a16:creationId xmlns:a16="http://schemas.microsoft.com/office/drawing/2014/main" id="{5B7E0A27-8BA6-4D17-A91B-DEA2CDCDCED4}"/>
            </a:ext>
          </a:extLst>
        </xdr:cNvPr>
        <xdr:cNvPicPr>
          <a:picLocks noChangeAspect="1" noChangeArrowheads="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313" r="98906">
                      <a14:foregroundMark x1="10234" y1="41528" x2="10234" y2="41528"/>
                      <a14:foregroundMark x1="98984" y1="35694" x2="98984" y2="35694"/>
                      <a14:foregroundMark x1="313" y1="59028" x2="313" y2="59028"/>
                    </a14:backgroundRemoval>
                  </a14:imgEffect>
                </a14:imgLayer>
              </a14:imgProps>
            </a:ext>
            <a:ext uri="{28A0092B-C50C-407E-A947-70E740481C1C}">
              <a14:useLocalDpi xmlns:a14="http://schemas.microsoft.com/office/drawing/2010/main" val="0"/>
            </a:ext>
          </a:extLst>
        </a:blip>
        <a:srcRect/>
        <a:stretch>
          <a:fillRect/>
        </a:stretch>
      </xdr:blipFill>
      <xdr:spPr bwMode="auto">
        <a:xfrm>
          <a:off x="20452669" y="3602886"/>
          <a:ext cx="759409" cy="40931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1215025</xdr:colOff>
      <xdr:row>20</xdr:row>
      <xdr:rowOff>689735</xdr:rowOff>
    </xdr:from>
    <xdr:ext cx="702798" cy="402157"/>
    <xdr:pic>
      <xdr:nvPicPr>
        <xdr:cNvPr id="41" name="Imagem 40" descr="Confira 16 opções de picapes e furgões para pegar no batente - Motor Show">
          <a:extLst>
            <a:ext uri="{FF2B5EF4-FFF2-40B4-BE49-F238E27FC236}">
              <a16:creationId xmlns:a16="http://schemas.microsoft.com/office/drawing/2014/main" id="{94550FE4-A6CC-44E3-B4DB-3B1E32A22ACF}"/>
            </a:ext>
          </a:extLst>
        </xdr:cNvPr>
        <xdr:cNvPicPr>
          <a:picLocks noChangeAspect="1" noChangeArrowheads="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313" r="98906">
                      <a14:foregroundMark x1="10234" y1="41528" x2="10234" y2="41528"/>
                      <a14:foregroundMark x1="98984" y1="35694" x2="98984" y2="35694"/>
                      <a14:foregroundMark x1="313" y1="59028" x2="313" y2="59028"/>
                    </a14:backgroundRemoval>
                  </a14:imgEffect>
                </a14:imgLayer>
              </a14:imgProps>
            </a:ext>
            <a:ext uri="{28A0092B-C50C-407E-A947-70E740481C1C}">
              <a14:useLocalDpi xmlns:a14="http://schemas.microsoft.com/office/drawing/2010/main" val="0"/>
            </a:ext>
          </a:extLst>
        </a:blip>
        <a:srcRect/>
        <a:stretch>
          <a:fillRect/>
        </a:stretch>
      </xdr:blipFill>
      <xdr:spPr bwMode="auto">
        <a:xfrm>
          <a:off x="18956925" y="6122160"/>
          <a:ext cx="702798" cy="4021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25</xdr:col>
      <xdr:colOff>16063</xdr:colOff>
      <xdr:row>19</xdr:row>
      <xdr:rowOff>180643</xdr:rowOff>
    </xdr:from>
    <xdr:ext cx="638922" cy="523875"/>
    <xdr:pic>
      <xdr:nvPicPr>
        <xdr:cNvPr id="42" name="Imagem 41" descr="CARRO OFICINA ANDRADE">
          <a:extLst>
            <a:ext uri="{FF2B5EF4-FFF2-40B4-BE49-F238E27FC236}">
              <a16:creationId xmlns:a16="http://schemas.microsoft.com/office/drawing/2014/main" id="{E48EA7B4-CB6D-488F-8FE4-A19FC5747409}"/>
            </a:ext>
          </a:extLst>
        </xdr:cNvPr>
        <xdr:cNvPicPr>
          <a:picLocks noChangeAspect="1" noChangeArrowheads="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11374" t="2434" r="10875" b="2060"/>
        <a:stretch/>
      </xdr:blipFill>
      <xdr:spPr bwMode="auto">
        <a:xfrm>
          <a:off x="19075588" y="5422568"/>
          <a:ext cx="638922" cy="5238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28</xdr:col>
      <xdr:colOff>48639</xdr:colOff>
      <xdr:row>19</xdr:row>
      <xdr:rowOff>175804</xdr:rowOff>
    </xdr:from>
    <xdr:ext cx="593776" cy="518160"/>
    <xdr:pic>
      <xdr:nvPicPr>
        <xdr:cNvPr id="43" name="Imagem 42" descr="CARRO OFICINA ANDRADE">
          <a:extLst>
            <a:ext uri="{FF2B5EF4-FFF2-40B4-BE49-F238E27FC236}">
              <a16:creationId xmlns:a16="http://schemas.microsoft.com/office/drawing/2014/main" id="{B3755852-5744-4206-A869-0AF2E941E67C}"/>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11374" t="2434" r="10875" b="2060"/>
        <a:stretch/>
      </xdr:blipFill>
      <xdr:spPr bwMode="auto">
        <a:xfrm>
          <a:off x="21171914" y="5417729"/>
          <a:ext cx="593776" cy="5181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15</xdr:col>
      <xdr:colOff>757154</xdr:colOff>
      <xdr:row>20</xdr:row>
      <xdr:rowOff>589934</xdr:rowOff>
    </xdr:from>
    <xdr:to>
      <xdr:col>16</xdr:col>
      <xdr:colOff>83145</xdr:colOff>
      <xdr:row>21</xdr:row>
      <xdr:rowOff>362659</xdr:rowOff>
    </xdr:to>
    <xdr:pic>
      <xdr:nvPicPr>
        <xdr:cNvPr id="44" name="Imagem 43" descr="CARRO OFICINA ANDRADE">
          <a:extLst>
            <a:ext uri="{FF2B5EF4-FFF2-40B4-BE49-F238E27FC236}">
              <a16:creationId xmlns:a16="http://schemas.microsoft.com/office/drawing/2014/main" id="{C04BF167-FE34-487A-9113-285FE0D8B8F4}"/>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11374" t="2434" r="10875" b="2060"/>
        <a:stretch/>
      </xdr:blipFill>
      <xdr:spPr bwMode="auto">
        <a:xfrm>
          <a:off x="12088729" y="6019184"/>
          <a:ext cx="643616" cy="515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24</xdr:col>
      <xdr:colOff>212912</xdr:colOff>
      <xdr:row>9</xdr:row>
      <xdr:rowOff>155536</xdr:rowOff>
    </xdr:from>
    <xdr:ext cx="765190" cy="408221"/>
    <xdr:pic>
      <xdr:nvPicPr>
        <xdr:cNvPr id="45" name="Imagem 44" descr="Confira 16 opções de picapes e furgões para pegar no batente - Motor Show">
          <a:extLst>
            <a:ext uri="{FF2B5EF4-FFF2-40B4-BE49-F238E27FC236}">
              <a16:creationId xmlns:a16="http://schemas.microsoft.com/office/drawing/2014/main" id="{9C1399A6-5DE0-48A2-B026-56296BE6D466}"/>
            </a:ext>
          </a:extLst>
        </xdr:cNvPr>
        <xdr:cNvPicPr>
          <a:picLocks noChangeAspect="1" noChangeArrowheads="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313" r="98906">
                      <a14:foregroundMark x1="10234" y1="41528" x2="10234" y2="41528"/>
                      <a14:foregroundMark x1="98984" y1="35694" x2="98984" y2="35694"/>
                      <a14:foregroundMark x1="313" y1="59028" x2="313" y2="59028"/>
                    </a14:backgroundRemoval>
                  </a14:imgEffect>
                </a14:imgLayer>
              </a14:imgProps>
            </a:ext>
            <a:ext uri="{28A0092B-C50C-407E-A947-70E740481C1C}">
              <a14:useLocalDpi xmlns:a14="http://schemas.microsoft.com/office/drawing/2010/main" val="0"/>
            </a:ext>
          </a:extLst>
        </a:blip>
        <a:srcRect/>
        <a:stretch>
          <a:fillRect/>
        </a:stretch>
      </xdr:blipFill>
      <xdr:spPr bwMode="auto">
        <a:xfrm>
          <a:off x="17961162" y="2308186"/>
          <a:ext cx="765190" cy="40822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34259</xdr:colOff>
      <xdr:row>20</xdr:row>
      <xdr:rowOff>503949</xdr:rowOff>
    </xdr:from>
    <xdr:ext cx="593776" cy="518160"/>
    <xdr:pic>
      <xdr:nvPicPr>
        <xdr:cNvPr id="46" name="Imagem 45" descr="CARRO OFICINA ANDRADE">
          <a:extLst>
            <a:ext uri="{FF2B5EF4-FFF2-40B4-BE49-F238E27FC236}">
              <a16:creationId xmlns:a16="http://schemas.microsoft.com/office/drawing/2014/main" id="{52441940-29A1-449E-BE97-37AF62AC3307}"/>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11374" t="2434" r="10875" b="2060"/>
        <a:stretch/>
      </xdr:blipFill>
      <xdr:spPr bwMode="auto">
        <a:xfrm>
          <a:off x="25291384" y="5936374"/>
          <a:ext cx="593776" cy="5181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48639</xdr:colOff>
      <xdr:row>19</xdr:row>
      <xdr:rowOff>175804</xdr:rowOff>
    </xdr:from>
    <xdr:ext cx="593776" cy="518160"/>
    <xdr:pic>
      <xdr:nvPicPr>
        <xdr:cNvPr id="47" name="Imagem 46" descr="CARRO OFICINA ANDRADE">
          <a:extLst>
            <a:ext uri="{FF2B5EF4-FFF2-40B4-BE49-F238E27FC236}">
              <a16:creationId xmlns:a16="http://schemas.microsoft.com/office/drawing/2014/main" id="{91A9142C-73DC-4D90-8A2D-39261EA2A1F0}"/>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11374" t="2434" r="10875" b="2060"/>
        <a:stretch/>
      </xdr:blipFill>
      <xdr:spPr bwMode="auto">
        <a:xfrm>
          <a:off x="25305764" y="5417729"/>
          <a:ext cx="593776" cy="5181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57</xdr:col>
      <xdr:colOff>1081564</xdr:colOff>
      <xdr:row>20</xdr:row>
      <xdr:rowOff>26987</xdr:rowOff>
    </xdr:from>
    <xdr:ext cx="870020" cy="484981"/>
    <xdr:pic>
      <xdr:nvPicPr>
        <xdr:cNvPr id="48" name="Imagem 47" descr="CURSO COMPLETO DE OPERADOR DE CAMINHÃO MUNCK ONLINE - Grupo CPV Treinamentos">
          <a:extLst>
            <a:ext uri="{FF2B5EF4-FFF2-40B4-BE49-F238E27FC236}">
              <a16:creationId xmlns:a16="http://schemas.microsoft.com/office/drawing/2014/main" id="{E700BD79-474B-430F-BA38-22B5C0F70A72}"/>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6090" r="10257" b="4762"/>
        <a:stretch/>
      </xdr:blipFill>
      <xdr:spPr bwMode="auto">
        <a:xfrm flipH="1">
          <a:off x="41759664" y="5459412"/>
          <a:ext cx="870020" cy="48498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57</xdr:col>
      <xdr:colOff>1102185</xdr:colOff>
      <xdr:row>23</xdr:row>
      <xdr:rowOff>189479</xdr:rowOff>
    </xdr:from>
    <xdr:ext cx="871290" cy="488156"/>
    <xdr:pic>
      <xdr:nvPicPr>
        <xdr:cNvPr id="49" name="Imagem 48" descr="CURSO COMPLETO DE OPERADOR DE CAMINHÃO MUNCK ONLINE - Grupo CPV Treinamentos">
          <a:extLst>
            <a:ext uri="{FF2B5EF4-FFF2-40B4-BE49-F238E27FC236}">
              <a16:creationId xmlns:a16="http://schemas.microsoft.com/office/drawing/2014/main" id="{608F12D5-0C5C-4B84-B293-392593E21415}"/>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6090" r="10257" b="4762"/>
        <a:stretch/>
      </xdr:blipFill>
      <xdr:spPr bwMode="auto">
        <a:xfrm flipH="1">
          <a:off x="41783460" y="6923654"/>
          <a:ext cx="871290" cy="4881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57</xdr:col>
      <xdr:colOff>43297</xdr:colOff>
      <xdr:row>32</xdr:row>
      <xdr:rowOff>78971</xdr:rowOff>
    </xdr:from>
    <xdr:ext cx="1032451" cy="1053095"/>
    <xdr:pic>
      <xdr:nvPicPr>
        <xdr:cNvPr id="50" name="Imagem 49" descr="Pneu 295/80R22.5 Armor Max OTR 152/148D H - Goodyear">
          <a:extLst>
            <a:ext uri="{FF2B5EF4-FFF2-40B4-BE49-F238E27FC236}">
              <a16:creationId xmlns:a16="http://schemas.microsoft.com/office/drawing/2014/main" id="{AD61D111-7545-4E81-BDF6-180C7D8CF466}"/>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40727747" y="9584921"/>
          <a:ext cx="1032451" cy="10530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63</xdr:col>
      <xdr:colOff>500137</xdr:colOff>
      <xdr:row>29</xdr:row>
      <xdr:rowOff>68723</xdr:rowOff>
    </xdr:from>
    <xdr:to>
      <xdr:col>63</xdr:col>
      <xdr:colOff>1245016</xdr:colOff>
      <xdr:row>29</xdr:row>
      <xdr:rowOff>484807</xdr:rowOff>
    </xdr:to>
    <xdr:pic>
      <xdr:nvPicPr>
        <xdr:cNvPr id="51" name="Imagem 50" descr="Confira 16 opções de picapes e furgões para pegar no batente - Motor Show">
          <a:extLst>
            <a:ext uri="{FF2B5EF4-FFF2-40B4-BE49-F238E27FC236}">
              <a16:creationId xmlns:a16="http://schemas.microsoft.com/office/drawing/2014/main" id="{44690681-6D44-4B56-90D4-20EB197887B0}"/>
            </a:ext>
          </a:extLst>
        </xdr:cNvPr>
        <xdr:cNvPicPr>
          <a:picLocks noChangeAspect="1" noChangeArrowheads="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313" r="98906">
                      <a14:foregroundMark x1="10234" y1="41528" x2="10234" y2="41528"/>
                      <a14:foregroundMark x1="98984" y1="35694" x2="98984" y2="35694"/>
                      <a14:foregroundMark x1="313" y1="59028" x2="313" y2="59028"/>
                    </a14:backgroundRemoval>
                  </a14:imgEffect>
                </a14:imgLayer>
              </a14:imgProps>
            </a:ext>
            <a:ext uri="{28A0092B-C50C-407E-A947-70E740481C1C}">
              <a14:useLocalDpi xmlns:a14="http://schemas.microsoft.com/office/drawing/2010/main" val="0"/>
            </a:ext>
          </a:extLst>
        </a:blip>
        <a:srcRect/>
        <a:stretch>
          <a:fillRect/>
        </a:stretch>
      </xdr:blipFill>
      <xdr:spPr bwMode="auto">
        <a:xfrm>
          <a:off x="45318437" y="8447548"/>
          <a:ext cx="741704" cy="4192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54</xdr:col>
      <xdr:colOff>246529</xdr:colOff>
      <xdr:row>32</xdr:row>
      <xdr:rowOff>100854</xdr:rowOff>
    </xdr:from>
    <xdr:to>
      <xdr:col>54</xdr:col>
      <xdr:colOff>1141164</xdr:colOff>
      <xdr:row>35</xdr:row>
      <xdr:rowOff>155105</xdr:rowOff>
    </xdr:to>
    <xdr:pic>
      <xdr:nvPicPr>
        <xdr:cNvPr id="52" name="Imagem 51" descr="Caminhão Comboio a Venda Direto da Fábrica">
          <a:extLst>
            <a:ext uri="{FF2B5EF4-FFF2-40B4-BE49-F238E27FC236}">
              <a16:creationId xmlns:a16="http://schemas.microsoft.com/office/drawing/2014/main" id="{885DC813-C054-49AC-B7E0-81D8FC1C6F20}"/>
            </a:ext>
          </a:extLst>
        </xdr:cNvPr>
        <xdr:cNvPicPr>
          <a:picLocks noChangeAspect="1" noChangeArrowheads="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t="17750" b="16501"/>
        <a:stretch/>
      </xdr:blipFill>
      <xdr:spPr bwMode="auto">
        <a:xfrm>
          <a:off x="38860879" y="9609979"/>
          <a:ext cx="894635" cy="546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268941</xdr:colOff>
      <xdr:row>29</xdr:row>
      <xdr:rowOff>235324</xdr:rowOff>
    </xdr:from>
    <xdr:to>
      <xdr:col>27</xdr:col>
      <xdr:colOff>390093</xdr:colOff>
      <xdr:row>30</xdr:row>
      <xdr:rowOff>182735</xdr:rowOff>
    </xdr:to>
    <xdr:pic>
      <xdr:nvPicPr>
        <xdr:cNvPr id="53" name="Imagem 52" descr="Caminhão Comboio a Venda Direto da Fábrica">
          <a:extLst>
            <a:ext uri="{FF2B5EF4-FFF2-40B4-BE49-F238E27FC236}">
              <a16:creationId xmlns:a16="http://schemas.microsoft.com/office/drawing/2014/main" id="{F68F16DB-0F77-49F1-A58A-A51006EB8251}"/>
            </a:ext>
          </a:extLst>
        </xdr:cNvPr>
        <xdr:cNvPicPr>
          <a:picLocks noChangeAspect="1" noChangeArrowheads="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t="17750" b="16501"/>
        <a:stretch/>
      </xdr:blipFill>
      <xdr:spPr bwMode="auto">
        <a:xfrm>
          <a:off x="19328466" y="8620499"/>
          <a:ext cx="873627" cy="5824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xdr:col>
      <xdr:colOff>504265</xdr:colOff>
      <xdr:row>29</xdr:row>
      <xdr:rowOff>283322</xdr:rowOff>
    </xdr:from>
    <xdr:to>
      <xdr:col>34</xdr:col>
      <xdr:colOff>82679</xdr:colOff>
      <xdr:row>30</xdr:row>
      <xdr:rowOff>221208</xdr:rowOff>
    </xdr:to>
    <xdr:pic>
      <xdr:nvPicPr>
        <xdr:cNvPr id="54" name="Imagem 53" descr="Caminhão Comboio a Venda Direto da Fábrica">
          <a:extLst>
            <a:ext uri="{FF2B5EF4-FFF2-40B4-BE49-F238E27FC236}">
              <a16:creationId xmlns:a16="http://schemas.microsoft.com/office/drawing/2014/main" id="{DBA36E43-41B3-49ED-ABA5-5BD1C8D9E6AF}"/>
            </a:ext>
          </a:extLst>
        </xdr:cNvPr>
        <xdr:cNvPicPr>
          <a:picLocks noChangeAspect="1" noChangeArrowheads="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t="17750" b="16501"/>
        <a:stretch/>
      </xdr:blipFill>
      <xdr:spPr bwMode="auto">
        <a:xfrm>
          <a:off x="24453290" y="8665322"/>
          <a:ext cx="889689" cy="5760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30</xdr:col>
      <xdr:colOff>1116600</xdr:colOff>
      <xdr:row>20</xdr:row>
      <xdr:rowOff>692910</xdr:rowOff>
    </xdr:from>
    <xdr:ext cx="702798" cy="402157"/>
    <xdr:pic>
      <xdr:nvPicPr>
        <xdr:cNvPr id="55" name="Imagem 54" descr="Confira 16 opções de picapes e furgões para pegar no batente - Motor Show">
          <a:extLst>
            <a:ext uri="{FF2B5EF4-FFF2-40B4-BE49-F238E27FC236}">
              <a16:creationId xmlns:a16="http://schemas.microsoft.com/office/drawing/2014/main" id="{0CD55949-C7E2-48EE-BEDA-1FBE4242B705}"/>
            </a:ext>
          </a:extLst>
        </xdr:cNvPr>
        <xdr:cNvPicPr>
          <a:picLocks noChangeAspect="1" noChangeArrowheads="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313" r="98906">
                      <a14:foregroundMark x1="10234" y1="41528" x2="10234" y2="41528"/>
                      <a14:foregroundMark x1="98984" y1="35694" x2="98984" y2="35694"/>
                      <a14:foregroundMark x1="313" y1="59028" x2="313" y2="59028"/>
                    </a14:backgroundRemoval>
                  </a14:imgEffect>
                </a14:imgLayer>
              </a14:imgProps>
            </a:ext>
            <a:ext uri="{28A0092B-C50C-407E-A947-70E740481C1C}">
              <a14:useLocalDpi xmlns:a14="http://schemas.microsoft.com/office/drawing/2010/main" val="0"/>
            </a:ext>
          </a:extLst>
        </a:blip>
        <a:srcRect/>
        <a:stretch>
          <a:fillRect/>
        </a:stretch>
      </xdr:blipFill>
      <xdr:spPr bwMode="auto">
        <a:xfrm>
          <a:off x="22992350" y="6125335"/>
          <a:ext cx="702798" cy="4021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xdr:col>
      <xdr:colOff>143562</xdr:colOff>
      <xdr:row>64</xdr:row>
      <xdr:rowOff>10117</xdr:rowOff>
    </xdr:from>
    <xdr:to>
      <xdr:col>1</xdr:col>
      <xdr:colOff>868154</xdr:colOff>
      <xdr:row>67</xdr:row>
      <xdr:rowOff>82727</xdr:rowOff>
    </xdr:to>
    <xdr:pic>
      <xdr:nvPicPr>
        <xdr:cNvPr id="56" name="Imagem 55" descr="Tratores Puma 200, 215, 230 - Bugio Tratores">
          <a:extLst>
            <a:ext uri="{FF2B5EF4-FFF2-40B4-BE49-F238E27FC236}">
              <a16:creationId xmlns:a16="http://schemas.microsoft.com/office/drawing/2014/main" id="{80D505E1-9B23-468E-A335-FAEB7D14D88B}"/>
            </a:ext>
          </a:extLst>
        </xdr:cNvPr>
        <xdr:cNvPicPr>
          <a:picLocks noChangeAspect="1" noChangeArrowheads="1"/>
        </xdr:cNvPicPr>
      </xdr:nvPicPr>
      <xdr:blipFill rotWithShape="1">
        <a:blip xmlns:r="http://schemas.openxmlformats.org/officeDocument/2006/relationships" r:embed="rId18" cstate="print">
          <a:extLst>
            <a:ext uri="{28A0092B-C50C-407E-A947-70E740481C1C}">
              <a14:useLocalDpi xmlns:a14="http://schemas.microsoft.com/office/drawing/2010/main" val="0"/>
            </a:ext>
          </a:extLst>
        </a:blip>
        <a:srcRect l="1739" t="7650" r="2398"/>
        <a:stretch/>
      </xdr:blipFill>
      <xdr:spPr bwMode="auto">
        <a:xfrm>
          <a:off x="559487" y="14837367"/>
          <a:ext cx="727767" cy="5329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167375</xdr:colOff>
      <xdr:row>68</xdr:row>
      <xdr:rowOff>18848</xdr:rowOff>
    </xdr:from>
    <xdr:to>
      <xdr:col>1</xdr:col>
      <xdr:colOff>885617</xdr:colOff>
      <xdr:row>71</xdr:row>
      <xdr:rowOff>97808</xdr:rowOff>
    </xdr:to>
    <xdr:pic>
      <xdr:nvPicPr>
        <xdr:cNvPr id="57" name="Imagem 56" descr="Tratores Puma 200, 215, 230 - Bugio Tratores">
          <a:extLst>
            <a:ext uri="{FF2B5EF4-FFF2-40B4-BE49-F238E27FC236}">
              <a16:creationId xmlns:a16="http://schemas.microsoft.com/office/drawing/2014/main" id="{32D254F4-3C04-42B7-8351-7172E585B235}"/>
            </a:ext>
          </a:extLst>
        </xdr:cNvPr>
        <xdr:cNvPicPr>
          <a:picLocks noChangeAspect="1" noChangeArrowheads="1"/>
        </xdr:cNvPicPr>
      </xdr:nvPicPr>
      <xdr:blipFill rotWithShape="1">
        <a:blip xmlns:r="http://schemas.openxmlformats.org/officeDocument/2006/relationships" r:embed="rId18" cstate="print">
          <a:extLst>
            <a:ext uri="{28A0092B-C50C-407E-A947-70E740481C1C}">
              <a14:useLocalDpi xmlns:a14="http://schemas.microsoft.com/office/drawing/2010/main" val="0"/>
            </a:ext>
          </a:extLst>
        </a:blip>
        <a:srcRect l="1739" t="7650" r="2398"/>
        <a:stretch/>
      </xdr:blipFill>
      <xdr:spPr bwMode="auto">
        <a:xfrm>
          <a:off x="583300" y="15458873"/>
          <a:ext cx="721417" cy="536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CF582-D92E-48DA-8259-7ACCBCB05508}">
  <sheetPr>
    <pageSetUpPr fitToPage="1"/>
  </sheetPr>
  <dimension ref="A1:GN195"/>
  <sheetViews>
    <sheetView showGridLines="0" tabSelected="1" zoomScale="80" zoomScaleNormal="80" workbookViewId="0">
      <selection activeCell="AC5" sqref="AC5:BB6"/>
    </sheetView>
  </sheetViews>
  <sheetFormatPr defaultColWidth="0" defaultRowHeight="41.5" customHeight="1" zeroHeight="1" x14ac:dyDescent="0.35"/>
  <cols>
    <col min="1" max="1" width="6" style="1" customWidth="1"/>
    <col min="2" max="2" width="17.81640625" style="1" customWidth="1"/>
    <col min="3" max="4" width="16.1796875" style="1" customWidth="1"/>
    <col min="5" max="5" width="15.7265625" style="1" customWidth="1"/>
    <col min="6" max="6" width="1.453125" style="1" customWidth="1"/>
    <col min="7" max="7" width="18.81640625" style="1" customWidth="1"/>
    <col min="8" max="8" width="9.54296875" style="1" customWidth="1"/>
    <col min="9" max="9" width="1.26953125" style="1" customWidth="1"/>
    <col min="10" max="10" width="18.81640625" style="1" customWidth="1"/>
    <col min="11" max="11" width="9.54296875" style="1" customWidth="1"/>
    <col min="12" max="12" width="1.26953125" style="1" customWidth="1"/>
    <col min="13" max="13" width="18.81640625" style="1" customWidth="1"/>
    <col min="14" max="14" width="9.54296875" style="1" customWidth="1"/>
    <col min="15" max="15" width="1.26953125" style="3" customWidth="1"/>
    <col min="16" max="16" width="18.81640625" style="3" customWidth="1"/>
    <col min="17" max="17" width="9.54296875" style="1" customWidth="1"/>
    <col min="18" max="18" width="1.26953125" style="1" customWidth="1"/>
    <col min="19" max="19" width="18.81640625" style="1" customWidth="1"/>
    <col min="20" max="20" width="9.54296875" style="1" customWidth="1"/>
    <col min="21" max="21" width="1.26953125" style="1" customWidth="1"/>
    <col min="22" max="22" width="18.81640625" style="1" customWidth="1"/>
    <col min="23" max="23" width="9.54296875" style="1" customWidth="1"/>
    <col min="24" max="24" width="4.1796875" style="1" customWidth="1"/>
    <col min="25" max="25" width="18.81640625" style="1" customWidth="1"/>
    <col min="26" max="26" width="9.54296875" style="1" customWidth="1"/>
    <col min="27" max="27" width="1.26953125" style="1" customWidth="1"/>
    <col min="28" max="28" width="18.81640625" style="1" customWidth="1"/>
    <col min="29" max="29" width="9.54296875" style="1" customWidth="1"/>
    <col min="30" max="30" width="1.26953125" style="1" customWidth="1"/>
    <col min="31" max="31" width="18.81640625" style="1" customWidth="1"/>
    <col min="32" max="32" width="9.54296875" style="1" customWidth="1"/>
    <col min="33" max="33" width="1.26953125" style="1" customWidth="1"/>
    <col min="34" max="34" width="18.81640625" style="1" customWidth="1"/>
    <col min="35" max="35" width="9.54296875" style="1" customWidth="1"/>
    <col min="36" max="36" width="4.1796875" style="1" customWidth="1"/>
    <col min="37" max="37" width="18.81640625" style="1" customWidth="1"/>
    <col min="38" max="38" width="9.54296875" style="1" customWidth="1"/>
    <col min="39" max="39" width="2.26953125" style="1" customWidth="1"/>
    <col min="40" max="40" width="18.81640625" style="1" customWidth="1"/>
    <col min="41" max="41" width="9.54296875" style="1" customWidth="1"/>
    <col min="42" max="42" width="2.26953125" style="1" customWidth="1"/>
    <col min="43" max="43" width="8.54296875" style="1" customWidth="1"/>
    <col min="44" max="44" width="11.1796875" style="1" customWidth="1"/>
    <col min="45" max="45" width="2.26953125" style="1" customWidth="1"/>
    <col min="46" max="46" width="18.81640625" style="1" customWidth="1"/>
    <col min="47" max="47" width="9.54296875" style="1" customWidth="1"/>
    <col min="48" max="48" width="2.26953125" style="1" customWidth="1"/>
    <col min="49" max="49" width="18.81640625" style="1" customWidth="1"/>
    <col min="50" max="50" width="9.54296875" style="1" customWidth="1"/>
    <col min="51" max="51" width="2.26953125" style="1" customWidth="1"/>
    <col min="52" max="52" width="18.81640625" style="1" customWidth="1"/>
    <col min="53" max="53" width="9.54296875" style="1" customWidth="1"/>
    <col min="54" max="54" width="4.1796875" style="1" customWidth="1"/>
    <col min="55" max="55" width="18.81640625" style="1" customWidth="1"/>
    <col min="56" max="56" width="9.54296875" style="1" customWidth="1"/>
    <col min="57" max="57" width="1.26953125" style="1" customWidth="1"/>
    <col min="58" max="58" width="18.81640625" style="1" customWidth="1"/>
    <col min="59" max="59" width="9.54296875" style="1" customWidth="1"/>
    <col min="60" max="60" width="1.26953125" style="1" customWidth="1"/>
    <col min="61" max="61" width="18.81640625" style="1" customWidth="1"/>
    <col min="62" max="62" width="9.54296875" style="1" customWidth="1"/>
    <col min="63" max="63" width="1.26953125" style="1" customWidth="1"/>
    <col min="64" max="64" width="22.6328125" style="1" customWidth="1"/>
    <col min="65" max="65" width="13.453125" style="1" customWidth="1"/>
    <col min="66" max="66" width="9.54296875" style="1" customWidth="1"/>
    <col min="67" max="67" width="2.453125" style="1" customWidth="1"/>
    <col min="68" max="68" width="2.1796875" style="1" customWidth="1"/>
    <col min="69" max="69" width="2.54296875" style="1" customWidth="1"/>
    <col min="70" max="196" width="0" style="1" hidden="1" customWidth="1"/>
    <col min="197" max="16384" width="9.1796875" style="1" hidden="1"/>
  </cols>
  <sheetData>
    <row r="1" spans="1:69" ht="3.75" customHeight="1" x14ac:dyDescent="0.35"/>
    <row r="2" spans="1:69" ht="14.5" hidden="1" x14ac:dyDescent="0.35">
      <c r="BC2" s="85"/>
      <c r="BD2" s="85"/>
      <c r="BE2" s="85"/>
      <c r="BF2" s="85"/>
      <c r="BG2" s="85"/>
      <c r="BH2" s="85"/>
      <c r="BI2" s="85"/>
      <c r="BJ2" s="85"/>
      <c r="BK2" s="85"/>
      <c r="BL2" s="151"/>
      <c r="BM2" s="151"/>
      <c r="BN2" s="151"/>
      <c r="BO2" s="151"/>
    </row>
    <row r="3" spans="1:69" ht="15" customHeight="1" x14ac:dyDescent="0.35">
      <c r="A3" s="133" t="s">
        <v>91</v>
      </c>
      <c r="B3" s="133"/>
      <c r="C3" s="133"/>
      <c r="D3" s="133"/>
      <c r="E3" s="133"/>
      <c r="F3" s="133"/>
      <c r="G3" s="133"/>
      <c r="H3" s="133"/>
      <c r="I3" s="133"/>
      <c r="J3" s="133"/>
      <c r="K3" s="133"/>
      <c r="L3" s="133"/>
      <c r="M3" s="133"/>
      <c r="N3" s="133"/>
      <c r="O3" s="36"/>
      <c r="P3" s="36"/>
      <c r="BB3" s="2"/>
      <c r="BC3" s="85"/>
      <c r="BD3" s="85"/>
      <c r="BE3" s="85"/>
      <c r="BF3" s="85"/>
      <c r="BG3" s="85"/>
      <c r="BH3" s="85"/>
      <c r="BI3" s="85"/>
      <c r="BJ3" s="85"/>
      <c r="BK3" s="85"/>
      <c r="BL3" s="151"/>
      <c r="BM3" s="151"/>
      <c r="BN3" s="151"/>
      <c r="BO3" s="151"/>
    </row>
    <row r="4" spans="1:69" ht="28.5" customHeight="1" thickBot="1" x14ac:dyDescent="0.4">
      <c r="A4" s="133"/>
      <c r="B4" s="133"/>
      <c r="C4" s="133"/>
      <c r="D4" s="133"/>
      <c r="E4" s="133"/>
      <c r="F4" s="133"/>
      <c r="G4" s="133"/>
      <c r="H4" s="133"/>
      <c r="I4" s="133"/>
      <c r="J4" s="133"/>
      <c r="K4" s="133"/>
      <c r="L4" s="133"/>
      <c r="M4" s="133"/>
      <c r="N4" s="133"/>
      <c r="O4" s="36"/>
      <c r="P4" s="36"/>
      <c r="AC4" s="170">
        <f>G9+AK9+BC9+Y9</f>
        <v>213</v>
      </c>
      <c r="AD4" s="170"/>
      <c r="AE4" s="170"/>
      <c r="AO4" s="83"/>
      <c r="AP4" s="83"/>
      <c r="AQ4" s="83"/>
      <c r="AZ4" s="81"/>
      <c r="BP4" s="171"/>
    </row>
    <row r="5" spans="1:69" ht="23.25" customHeight="1" x14ac:dyDescent="0.35">
      <c r="A5" s="133"/>
      <c r="B5" s="133"/>
      <c r="C5" s="133"/>
      <c r="D5" s="133"/>
      <c r="E5" s="133"/>
      <c r="F5" s="133"/>
      <c r="G5" s="133"/>
      <c r="H5" s="133"/>
      <c r="I5" s="133"/>
      <c r="J5" s="133"/>
      <c r="K5" s="133"/>
      <c r="L5" s="133"/>
      <c r="M5" s="133"/>
      <c r="N5" s="133"/>
      <c r="O5" s="36"/>
      <c r="P5" s="36"/>
      <c r="Q5" s="82"/>
      <c r="R5" s="82"/>
      <c r="S5" s="82"/>
      <c r="T5" s="82"/>
      <c r="U5" s="82"/>
      <c r="V5" s="82"/>
      <c r="W5" s="82"/>
      <c r="X5" s="82"/>
      <c r="Y5" s="82"/>
      <c r="Z5" s="82"/>
      <c r="AA5" s="82"/>
      <c r="AB5" s="82"/>
      <c r="AC5" s="127" t="s">
        <v>76</v>
      </c>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9"/>
      <c r="BP5" s="171"/>
    </row>
    <row r="6" spans="1:69" ht="25" customHeight="1" thickBot="1" x14ac:dyDescent="0.4">
      <c r="A6" s="133"/>
      <c r="B6" s="133"/>
      <c r="C6" s="133"/>
      <c r="D6" s="133"/>
      <c r="E6" s="133"/>
      <c r="F6" s="133"/>
      <c r="G6" s="133"/>
      <c r="H6" s="133"/>
      <c r="I6" s="133"/>
      <c r="J6" s="133"/>
      <c r="K6" s="133"/>
      <c r="L6" s="133"/>
      <c r="M6" s="133"/>
      <c r="N6" s="133"/>
      <c r="O6" s="36"/>
      <c r="P6" s="36"/>
      <c r="Q6" s="82"/>
      <c r="R6" s="82"/>
      <c r="S6" s="82"/>
      <c r="T6" s="82"/>
      <c r="U6" s="82"/>
      <c r="V6" s="82"/>
      <c r="W6" s="82"/>
      <c r="X6" s="82"/>
      <c r="Y6" s="82"/>
      <c r="Z6" s="82"/>
      <c r="AA6" s="82"/>
      <c r="AB6" s="82"/>
      <c r="AC6" s="130"/>
      <c r="AD6" s="131"/>
      <c r="AE6" s="131"/>
      <c r="AF6" s="131"/>
      <c r="AG6" s="131"/>
      <c r="AH6" s="131"/>
      <c r="AI6" s="131"/>
      <c r="AJ6" s="131"/>
      <c r="AK6" s="131"/>
      <c r="AL6" s="131"/>
      <c r="AM6" s="131"/>
      <c r="AN6" s="131"/>
      <c r="AO6" s="131"/>
      <c r="AP6" s="131"/>
      <c r="AQ6" s="131"/>
      <c r="AR6" s="131"/>
      <c r="AS6" s="131"/>
      <c r="AT6" s="131"/>
      <c r="AU6" s="131"/>
      <c r="AV6" s="131"/>
      <c r="AW6" s="131"/>
      <c r="AX6" s="131"/>
      <c r="AY6" s="131"/>
      <c r="AZ6" s="131"/>
      <c r="BA6" s="131"/>
      <c r="BB6" s="132"/>
      <c r="BP6" s="171"/>
    </row>
    <row r="7" spans="1:69" ht="25" customHeight="1" x14ac:dyDescent="0.35">
      <c r="AO7" s="105"/>
      <c r="AU7" s="8"/>
      <c r="AV7" s="8"/>
      <c r="AW7" s="104"/>
      <c r="AX7" s="8"/>
      <c r="AY7" s="8"/>
      <c r="AZ7" s="8"/>
      <c r="BA7" s="8"/>
      <c r="BB7" s="8"/>
    </row>
    <row r="8" spans="1:69" ht="25" customHeight="1" x14ac:dyDescent="0.35">
      <c r="W8" s="9"/>
      <c r="X8" s="9"/>
      <c r="Y8" s="9"/>
      <c r="Z8" s="9"/>
      <c r="AL8" s="9"/>
      <c r="AM8" s="9"/>
      <c r="AO8" s="92"/>
      <c r="AT8" s="9"/>
      <c r="AW8" s="9"/>
    </row>
    <row r="9" spans="1:69" ht="25" customHeight="1" thickBot="1" x14ac:dyDescent="0.4">
      <c r="F9" s="10"/>
      <c r="G9" s="88">
        <f>1+1+B13+G13+P13</f>
        <v>76</v>
      </c>
      <c r="P9" s="7"/>
      <c r="Q9" s="16"/>
      <c r="R9" s="16"/>
      <c r="S9" s="16"/>
      <c r="T9" s="16"/>
      <c r="U9" s="16"/>
      <c r="V9" s="16"/>
      <c r="X9" s="50"/>
      <c r="Y9" s="88">
        <f>1+Y13+AE13</f>
        <v>31</v>
      </c>
      <c r="AA9" s="16"/>
      <c r="AB9" s="16"/>
      <c r="AC9" s="16"/>
      <c r="AD9" s="16"/>
      <c r="AE9" s="102"/>
      <c r="AF9" s="16"/>
      <c r="AG9" s="16"/>
      <c r="AH9" s="16"/>
      <c r="AI9" s="16"/>
      <c r="AJ9" s="16"/>
      <c r="AK9" s="15">
        <f>1+$AK$13+$AQ$13+$AT$13</f>
        <v>46</v>
      </c>
      <c r="AM9" s="16"/>
      <c r="AN9" s="16"/>
      <c r="AO9" s="16"/>
      <c r="AP9" s="16"/>
      <c r="AQ9" s="16"/>
      <c r="AR9" s="16"/>
      <c r="AS9" s="16"/>
      <c r="AT9" s="16"/>
      <c r="AU9" s="16"/>
      <c r="AV9" s="16"/>
      <c r="AW9" s="91"/>
      <c r="AX9" s="16"/>
      <c r="AY9" s="16"/>
      <c r="AZ9" s="16"/>
      <c r="BA9" s="47">
        <v>1</v>
      </c>
      <c r="BB9" s="16"/>
      <c r="BC9" s="15">
        <f>1+$BL$13+$BC$13</f>
        <v>60</v>
      </c>
      <c r="BD9" s="13"/>
      <c r="BE9" s="13"/>
      <c r="BF9" s="13"/>
      <c r="BG9" s="13"/>
      <c r="BH9" s="13"/>
      <c r="BI9" s="17"/>
      <c r="BJ9" s="12"/>
      <c r="BK9" s="12"/>
      <c r="BL9" s="12"/>
    </row>
    <row r="10" spans="1:69" ht="25" customHeight="1" x14ac:dyDescent="0.35">
      <c r="E10" s="35"/>
      <c r="F10" s="35"/>
      <c r="G10" s="117" t="s">
        <v>54</v>
      </c>
      <c r="H10" s="118"/>
      <c r="I10" s="118"/>
      <c r="J10" s="118"/>
      <c r="K10" s="118"/>
      <c r="L10" s="118"/>
      <c r="M10" s="118"/>
      <c r="N10" s="118"/>
      <c r="O10" s="118"/>
      <c r="P10" s="118"/>
      <c r="Q10" s="118"/>
      <c r="R10" s="118"/>
      <c r="S10" s="118"/>
      <c r="T10" s="118"/>
      <c r="U10" s="118"/>
      <c r="V10" s="118"/>
      <c r="W10" s="119"/>
      <c r="X10" s="50"/>
      <c r="Y10" s="117" t="s">
        <v>90</v>
      </c>
      <c r="Z10" s="118"/>
      <c r="AA10" s="118"/>
      <c r="AB10" s="118"/>
      <c r="AC10" s="118"/>
      <c r="AD10" s="118"/>
      <c r="AE10" s="118"/>
      <c r="AF10" s="118"/>
      <c r="AG10" s="118"/>
      <c r="AH10" s="118"/>
      <c r="AI10" s="119"/>
      <c r="AK10" s="117" t="s">
        <v>78</v>
      </c>
      <c r="AL10" s="118"/>
      <c r="AM10" s="118"/>
      <c r="AN10" s="118"/>
      <c r="AO10" s="118"/>
      <c r="AP10" s="118"/>
      <c r="AQ10" s="118"/>
      <c r="AR10" s="118"/>
      <c r="AS10" s="118"/>
      <c r="AT10" s="118"/>
      <c r="AU10" s="118"/>
      <c r="AV10" s="118"/>
      <c r="AW10" s="118"/>
      <c r="AX10" s="118"/>
      <c r="AY10" s="118"/>
      <c r="AZ10" s="118"/>
      <c r="BA10" s="119"/>
      <c r="BB10" s="35"/>
      <c r="BC10" s="117" t="s">
        <v>88</v>
      </c>
      <c r="BD10" s="118"/>
      <c r="BE10" s="118"/>
      <c r="BF10" s="118"/>
      <c r="BG10" s="118"/>
      <c r="BH10" s="118"/>
      <c r="BI10" s="118"/>
      <c r="BJ10" s="118"/>
      <c r="BK10" s="118"/>
      <c r="BL10" s="118"/>
      <c r="BM10" s="118"/>
      <c r="BN10" s="118"/>
      <c r="BO10" s="118"/>
      <c r="BP10" s="119"/>
    </row>
    <row r="11" spans="1:69" ht="25" customHeight="1" thickBot="1" x14ac:dyDescent="0.4">
      <c r="E11" s="35"/>
      <c r="F11" s="35"/>
      <c r="G11" s="120"/>
      <c r="H11" s="121"/>
      <c r="I11" s="121"/>
      <c r="J11" s="121"/>
      <c r="K11" s="121"/>
      <c r="L11" s="121"/>
      <c r="M11" s="121"/>
      <c r="N11" s="121"/>
      <c r="O11" s="121"/>
      <c r="P11" s="121"/>
      <c r="Q11" s="121"/>
      <c r="R11" s="121"/>
      <c r="S11" s="121"/>
      <c r="T11" s="121"/>
      <c r="U11" s="121"/>
      <c r="V11" s="121"/>
      <c r="W11" s="122"/>
      <c r="X11" s="50"/>
      <c r="Y11" s="120"/>
      <c r="Z11" s="121"/>
      <c r="AA11" s="121"/>
      <c r="AB11" s="121"/>
      <c r="AC11" s="121"/>
      <c r="AD11" s="121"/>
      <c r="AE11" s="121"/>
      <c r="AF11" s="121"/>
      <c r="AG11" s="121"/>
      <c r="AH11" s="121"/>
      <c r="AI11" s="122"/>
      <c r="AK11" s="120"/>
      <c r="AL11" s="121"/>
      <c r="AM11" s="121"/>
      <c r="AN11" s="121"/>
      <c r="AO11" s="121"/>
      <c r="AP11" s="121"/>
      <c r="AQ11" s="121"/>
      <c r="AR11" s="121"/>
      <c r="AS11" s="121"/>
      <c r="AT11" s="121"/>
      <c r="AU11" s="121"/>
      <c r="AV11" s="121"/>
      <c r="AW11" s="121"/>
      <c r="AX11" s="121"/>
      <c r="AY11" s="121"/>
      <c r="AZ11" s="121"/>
      <c r="BA11" s="122"/>
      <c r="BB11" s="35"/>
      <c r="BC11" s="120"/>
      <c r="BD11" s="121"/>
      <c r="BE11" s="121"/>
      <c r="BF11" s="121"/>
      <c r="BG11" s="121"/>
      <c r="BH11" s="121"/>
      <c r="BI11" s="121"/>
      <c r="BJ11" s="121"/>
      <c r="BK11" s="121"/>
      <c r="BL11" s="121"/>
      <c r="BM11" s="121"/>
      <c r="BN11" s="121"/>
      <c r="BO11" s="121"/>
      <c r="BP11" s="122"/>
    </row>
    <row r="12" spans="1:69" ht="25" customHeight="1" x14ac:dyDescent="0.35">
      <c r="D12" s="9"/>
      <c r="E12" s="9"/>
      <c r="F12" s="9"/>
      <c r="G12" s="9"/>
      <c r="H12" s="9"/>
      <c r="I12" s="9"/>
      <c r="J12" s="9"/>
      <c r="K12" s="9"/>
      <c r="L12" s="9"/>
      <c r="M12" s="9"/>
      <c r="P12" s="4"/>
      <c r="X12" s="50"/>
      <c r="AM12" s="9"/>
      <c r="AN12" s="9"/>
      <c r="AO12" s="9"/>
      <c r="AP12" s="9"/>
      <c r="AQ12" s="9"/>
      <c r="AR12" s="9"/>
      <c r="AS12" s="9"/>
      <c r="AT12" s="11"/>
      <c r="AU12" s="9"/>
      <c r="AV12" s="9"/>
      <c r="AW12" s="9"/>
      <c r="BC12" s="103"/>
      <c r="BD12" s="103"/>
      <c r="BE12" s="103"/>
      <c r="BF12" s="103"/>
      <c r="BG12" s="103"/>
      <c r="BH12" s="103"/>
      <c r="BI12" s="103"/>
      <c r="BJ12" s="103"/>
      <c r="BK12" s="103"/>
    </row>
    <row r="13" spans="1:69" s="85" customFormat="1" ht="21" customHeight="1" thickBot="1" x14ac:dyDescent="0.4">
      <c r="B13" s="46">
        <f>B18+3</f>
        <v>33</v>
      </c>
      <c r="C13" s="19"/>
      <c r="D13" s="46"/>
      <c r="E13" s="93"/>
      <c r="F13" s="93"/>
      <c r="G13" s="46">
        <f>6+M18+G18+J18</f>
        <v>30</v>
      </c>
      <c r="H13" s="94"/>
      <c r="I13" s="93"/>
      <c r="J13" s="95"/>
      <c r="K13" s="93"/>
      <c r="L13" s="93"/>
      <c r="M13" s="46"/>
      <c r="N13" s="94"/>
      <c r="O13" s="96"/>
      <c r="P13" s="46">
        <f>1+$P$18+$V$18+$S$18</f>
        <v>11</v>
      </c>
      <c r="Q13" s="94"/>
      <c r="R13" s="94"/>
      <c r="S13" s="95"/>
      <c r="T13" s="93"/>
      <c r="U13" s="93"/>
      <c r="V13" s="93"/>
      <c r="W13" s="93"/>
      <c r="X13" s="50"/>
      <c r="Y13" s="46">
        <f>3+$Y$18+$AB$18</f>
        <v>13</v>
      </c>
      <c r="Z13" s="93"/>
      <c r="AA13" s="93"/>
      <c r="AB13" s="93"/>
      <c r="AC13" s="93"/>
      <c r="AE13" s="46">
        <f>1+$AE$18+$AH$18</f>
        <v>17</v>
      </c>
      <c r="AF13" s="93"/>
      <c r="AG13" s="93"/>
      <c r="AH13" s="93"/>
      <c r="AI13" s="93"/>
      <c r="AK13" s="46">
        <f>2+AK18+AN18</f>
        <v>16</v>
      </c>
      <c r="AL13" s="98"/>
      <c r="AQ13" s="19">
        <v>1</v>
      </c>
      <c r="AT13" s="46">
        <f>1+AT18+AW18+AZ18</f>
        <v>28</v>
      </c>
      <c r="AU13" s="97"/>
      <c r="AV13" s="97"/>
      <c r="AW13" s="99"/>
      <c r="AX13" s="100"/>
      <c r="AY13" s="101"/>
      <c r="AZ13" s="20"/>
      <c r="BB13" s="103"/>
      <c r="BC13" s="46">
        <f>BF18+BC18+BI18</f>
        <v>32</v>
      </c>
      <c r="BD13" s="103"/>
      <c r="BE13" s="103"/>
      <c r="BF13" s="103"/>
      <c r="BG13" s="103"/>
      <c r="BH13" s="103"/>
      <c r="BI13" s="103"/>
      <c r="BJ13" s="103"/>
      <c r="BK13" s="103"/>
      <c r="BL13" s="46">
        <f>BL18+BM18</f>
        <v>27</v>
      </c>
      <c r="BM13" s="1"/>
      <c r="BN13" s="1"/>
      <c r="BO13" s="1"/>
      <c r="BP13" s="1"/>
      <c r="BQ13" s="1"/>
    </row>
    <row r="14" spans="1:69" s="2" customFormat="1" ht="20.149999999999999" customHeight="1" x14ac:dyDescent="0.35">
      <c r="B14" s="155" t="s">
        <v>53</v>
      </c>
      <c r="C14" s="156"/>
      <c r="D14" s="156"/>
      <c r="E14" s="157"/>
      <c r="G14" s="184"/>
      <c r="H14" s="185"/>
      <c r="I14" s="185"/>
      <c r="J14" s="185"/>
      <c r="K14" s="185"/>
      <c r="L14" s="185"/>
      <c r="M14" s="185"/>
      <c r="N14" s="186"/>
      <c r="O14" s="89"/>
      <c r="P14" s="184" t="s">
        <v>63</v>
      </c>
      <c r="Q14" s="185"/>
      <c r="R14" s="185"/>
      <c r="S14" s="185"/>
      <c r="T14" s="185"/>
      <c r="U14" s="185"/>
      <c r="V14" s="185"/>
      <c r="W14" s="186"/>
      <c r="X14" s="50"/>
      <c r="Y14" s="155" t="s">
        <v>69</v>
      </c>
      <c r="Z14" s="156"/>
      <c r="AA14" s="156"/>
      <c r="AB14" s="156"/>
      <c r="AC14" s="157"/>
      <c r="AD14" s="1"/>
      <c r="AE14" s="155" t="s">
        <v>71</v>
      </c>
      <c r="AF14" s="156"/>
      <c r="AG14" s="156"/>
      <c r="AH14" s="156"/>
      <c r="AI14" s="157"/>
      <c r="AJ14" s="1"/>
      <c r="AK14" s="178" t="s">
        <v>77</v>
      </c>
      <c r="AL14" s="179"/>
      <c r="AM14" s="179"/>
      <c r="AN14" s="179"/>
      <c r="AO14" s="180"/>
      <c r="AP14" s="18"/>
      <c r="AQ14" s="178" t="s">
        <v>80</v>
      </c>
      <c r="AR14" s="180"/>
      <c r="AS14" s="18"/>
      <c r="AT14" s="178" t="s">
        <v>81</v>
      </c>
      <c r="AU14" s="179"/>
      <c r="AV14" s="179"/>
      <c r="AW14" s="179"/>
      <c r="AX14" s="179"/>
      <c r="AY14" s="179"/>
      <c r="AZ14" s="179"/>
      <c r="BA14" s="180"/>
      <c r="BB14" s="103"/>
      <c r="BC14" s="178" t="s">
        <v>85</v>
      </c>
      <c r="BD14" s="179"/>
      <c r="BE14" s="179"/>
      <c r="BF14" s="179"/>
      <c r="BG14" s="179"/>
      <c r="BH14" s="179"/>
      <c r="BI14" s="179"/>
      <c r="BJ14" s="180"/>
      <c r="BK14" s="103"/>
      <c r="BL14" s="172" t="s">
        <v>0</v>
      </c>
      <c r="BM14" s="174" t="s">
        <v>1</v>
      </c>
      <c r="BN14" s="175"/>
      <c r="BO14" s="1"/>
      <c r="BP14" s="1"/>
      <c r="BQ14" s="1"/>
    </row>
    <row r="15" spans="1:69" s="2" customFormat="1" ht="47.25" customHeight="1" thickBot="1" x14ac:dyDescent="0.4">
      <c r="B15" s="158"/>
      <c r="C15" s="159"/>
      <c r="D15" s="159"/>
      <c r="E15" s="160"/>
      <c r="G15" s="190"/>
      <c r="H15" s="191"/>
      <c r="I15" s="191"/>
      <c r="J15" s="191"/>
      <c r="K15" s="191"/>
      <c r="L15" s="191"/>
      <c r="M15" s="191"/>
      <c r="N15" s="192"/>
      <c r="O15" s="89"/>
      <c r="P15" s="187"/>
      <c r="Q15" s="188"/>
      <c r="R15" s="188"/>
      <c r="S15" s="188"/>
      <c r="T15" s="188"/>
      <c r="U15" s="188"/>
      <c r="V15" s="188"/>
      <c r="W15" s="189"/>
      <c r="X15" s="50"/>
      <c r="Y15" s="158"/>
      <c r="Z15" s="159"/>
      <c r="AA15" s="159"/>
      <c r="AB15" s="159"/>
      <c r="AC15" s="160"/>
      <c r="AD15" s="1"/>
      <c r="AE15" s="158"/>
      <c r="AF15" s="159"/>
      <c r="AG15" s="159"/>
      <c r="AH15" s="159"/>
      <c r="AI15" s="160"/>
      <c r="AJ15" s="1"/>
      <c r="AK15" s="181"/>
      <c r="AL15" s="182"/>
      <c r="AM15" s="182"/>
      <c r="AN15" s="182"/>
      <c r="AO15" s="183"/>
      <c r="AP15" s="18"/>
      <c r="AQ15" s="181"/>
      <c r="AR15" s="183"/>
      <c r="AS15" s="18"/>
      <c r="AT15" s="181"/>
      <c r="AU15" s="182"/>
      <c r="AV15" s="182"/>
      <c r="AW15" s="182"/>
      <c r="AX15" s="182"/>
      <c r="AY15" s="182"/>
      <c r="AZ15" s="182"/>
      <c r="BA15" s="183"/>
      <c r="BB15" s="103"/>
      <c r="BC15" s="181"/>
      <c r="BD15" s="182"/>
      <c r="BE15" s="182"/>
      <c r="BF15" s="182"/>
      <c r="BG15" s="182"/>
      <c r="BH15" s="182"/>
      <c r="BI15" s="182"/>
      <c r="BJ15" s="183"/>
      <c r="BK15" s="103"/>
      <c r="BL15" s="173"/>
      <c r="BM15" s="176"/>
      <c r="BN15" s="177"/>
      <c r="BO15" s="1"/>
      <c r="BP15" s="1"/>
      <c r="BQ15" s="1"/>
    </row>
    <row r="16" spans="1:69" ht="48" customHeight="1" x14ac:dyDescent="0.35">
      <c r="B16" s="194" t="s">
        <v>52</v>
      </c>
      <c r="C16" s="194"/>
      <c r="D16" s="194"/>
      <c r="E16" s="194"/>
      <c r="G16" s="150" t="s">
        <v>56</v>
      </c>
      <c r="H16" s="151"/>
      <c r="J16" s="149" t="s">
        <v>57</v>
      </c>
      <c r="K16" s="149"/>
      <c r="M16" s="151" t="s">
        <v>36</v>
      </c>
      <c r="N16" s="151"/>
      <c r="O16" s="52"/>
      <c r="P16" s="195" t="s">
        <v>14</v>
      </c>
      <c r="Q16" s="195"/>
      <c r="R16" s="87"/>
      <c r="S16" s="163" t="s">
        <v>40</v>
      </c>
      <c r="T16" s="163"/>
      <c r="U16" s="87"/>
      <c r="V16" s="163" t="s">
        <v>65</v>
      </c>
      <c r="W16" s="163"/>
      <c r="X16" s="50"/>
      <c r="Y16" s="150" t="s">
        <v>67</v>
      </c>
      <c r="Z16" s="150"/>
      <c r="AA16" s="52"/>
      <c r="AB16" s="150" t="s">
        <v>13</v>
      </c>
      <c r="AC16" s="150"/>
      <c r="AE16" s="150" t="s">
        <v>72</v>
      </c>
      <c r="AF16" s="150"/>
      <c r="AH16" s="150" t="s">
        <v>73</v>
      </c>
      <c r="AI16" s="150"/>
      <c r="AK16" s="151" t="s">
        <v>79</v>
      </c>
      <c r="AL16" s="151"/>
      <c r="AN16" s="150" t="s">
        <v>41</v>
      </c>
      <c r="AO16" s="150"/>
      <c r="AQ16" s="149" t="s">
        <v>43</v>
      </c>
      <c r="AR16" s="149"/>
      <c r="AT16" s="150" t="s">
        <v>27</v>
      </c>
      <c r="AU16" s="150"/>
      <c r="AW16" s="150" t="s">
        <v>44</v>
      </c>
      <c r="AX16" s="150"/>
      <c r="AZ16" s="150" t="s">
        <v>83</v>
      </c>
      <c r="BA16" s="150"/>
      <c r="BB16" s="103"/>
      <c r="BC16" s="149" t="s">
        <v>15</v>
      </c>
      <c r="BD16" s="149"/>
      <c r="BF16" s="151" t="s">
        <v>12</v>
      </c>
      <c r="BG16" s="151"/>
      <c r="BI16" s="151" t="s">
        <v>86</v>
      </c>
      <c r="BJ16" s="151"/>
      <c r="BK16" s="103"/>
      <c r="BL16" s="52"/>
      <c r="BM16" s="149"/>
      <c r="BN16" s="149"/>
    </row>
    <row r="17" spans="1:69" ht="15.5" hidden="1" customHeight="1" x14ac:dyDescent="0.35">
      <c r="B17" s="31"/>
      <c r="C17" s="31"/>
      <c r="D17" s="31"/>
      <c r="E17" s="6"/>
      <c r="F17" s="6"/>
      <c r="G17" s="6"/>
      <c r="H17" s="6"/>
      <c r="I17" s="6"/>
      <c r="J17" s="6"/>
      <c r="K17" s="6"/>
      <c r="L17" s="6"/>
      <c r="O17" s="5"/>
      <c r="P17" s="5"/>
      <c r="Q17" s="6"/>
      <c r="R17" s="6"/>
      <c r="S17" s="6"/>
      <c r="T17" s="6"/>
      <c r="U17" s="6"/>
      <c r="V17" s="6"/>
      <c r="W17" s="6"/>
      <c r="X17" s="50"/>
      <c r="Y17" s="5"/>
      <c r="Z17" s="6"/>
      <c r="AA17" s="6"/>
      <c r="AB17" s="6"/>
      <c r="AC17" s="6"/>
      <c r="AK17" s="31"/>
      <c r="AQ17" s="31"/>
      <c r="AT17" s="150"/>
      <c r="AU17" s="150"/>
      <c r="AW17" s="150"/>
      <c r="AX17" s="150"/>
      <c r="AZ17" s="150"/>
      <c r="BA17" s="150"/>
      <c r="BB17" s="103"/>
      <c r="BC17" s="150"/>
      <c r="BD17" s="150"/>
      <c r="BF17" s="31"/>
      <c r="BI17" s="31"/>
      <c r="BK17" s="103"/>
      <c r="BL17" s="65"/>
      <c r="BM17" s="193"/>
      <c r="BN17" s="193"/>
    </row>
    <row r="18" spans="1:69" ht="17.25" customHeight="1" thickBot="1" x14ac:dyDescent="0.4">
      <c r="B18" s="152">
        <f>E19+E23+E27</f>
        <v>30</v>
      </c>
      <c r="C18" s="152"/>
      <c r="D18" s="152"/>
      <c r="E18" s="152"/>
      <c r="F18" s="6"/>
      <c r="G18" s="152">
        <f>H19+H23+H27</f>
        <v>9</v>
      </c>
      <c r="H18" s="152"/>
      <c r="I18" s="6"/>
      <c r="J18" s="152">
        <f>K19+K23+K27</f>
        <v>12</v>
      </c>
      <c r="K18" s="152"/>
      <c r="L18" s="6"/>
      <c r="M18" s="152">
        <f>N19+N23+N27</f>
        <v>3</v>
      </c>
      <c r="N18" s="152"/>
      <c r="O18" s="5"/>
      <c r="P18" s="152">
        <f>Q19+Q23+Q27</f>
        <v>3</v>
      </c>
      <c r="Q18" s="152"/>
      <c r="R18" s="10"/>
      <c r="S18" s="152">
        <f>T19+T23+T27</f>
        <v>3</v>
      </c>
      <c r="T18" s="152"/>
      <c r="U18" s="10"/>
      <c r="V18" s="152">
        <f>W19+W23+W27</f>
        <v>4</v>
      </c>
      <c r="W18" s="152"/>
      <c r="X18" s="50"/>
      <c r="Y18" s="152">
        <f>Z19+Z23+Z27</f>
        <v>7</v>
      </c>
      <c r="Z18" s="152"/>
      <c r="AA18" s="10"/>
      <c r="AB18" s="152">
        <f>AC19+AC23+AC27</f>
        <v>3</v>
      </c>
      <c r="AC18" s="152"/>
      <c r="AE18" s="152">
        <f>AF19+AF23+AF27</f>
        <v>10</v>
      </c>
      <c r="AF18" s="152"/>
      <c r="AH18" s="152">
        <f>AI19+AI23+AI27</f>
        <v>6</v>
      </c>
      <c r="AI18" s="152"/>
      <c r="AK18" s="152">
        <f>AL19+AL23+AL27</f>
        <v>12</v>
      </c>
      <c r="AL18" s="152"/>
      <c r="AN18" s="152">
        <f>AO19</f>
        <v>2</v>
      </c>
      <c r="AO18" s="152"/>
      <c r="AQ18" s="201"/>
      <c r="AR18" s="201"/>
      <c r="AT18" s="152">
        <f>AU19+AU23</f>
        <v>13</v>
      </c>
      <c r="AU18" s="152"/>
      <c r="AW18" s="152">
        <f>AX19</f>
        <v>2</v>
      </c>
      <c r="AX18" s="152"/>
      <c r="AZ18" s="152">
        <f>BA19</f>
        <v>12</v>
      </c>
      <c r="BA18" s="152"/>
      <c r="BB18" s="103"/>
      <c r="BC18" s="152">
        <f>BD19+BD23+BD27</f>
        <v>16</v>
      </c>
      <c r="BD18" s="152"/>
      <c r="BF18" s="152">
        <f>BG19+BG23+BG27</f>
        <v>8</v>
      </c>
      <c r="BG18" s="152"/>
      <c r="BI18" s="152">
        <f>BJ19+BJ23</f>
        <v>8</v>
      </c>
      <c r="BJ18" s="152"/>
      <c r="BK18" s="103"/>
      <c r="BL18" s="49">
        <f>6+3+1+1+4+1+2+1+3+1</f>
        <v>23</v>
      </c>
      <c r="BM18" s="152">
        <f>BN19+BN23+BN27</f>
        <v>4</v>
      </c>
      <c r="BN18" s="152"/>
    </row>
    <row r="19" spans="1:69" s="6" customFormat="1" ht="15" customHeight="1" thickBot="1" x14ac:dyDescent="0.4">
      <c r="A19" s="196"/>
      <c r="B19" s="30" t="s">
        <v>2</v>
      </c>
      <c r="C19" s="53"/>
      <c r="D19" s="53"/>
      <c r="E19" s="37">
        <v>10</v>
      </c>
      <c r="F19" s="14"/>
      <c r="G19" s="30" t="s">
        <v>2</v>
      </c>
      <c r="H19" s="37">
        <v>3</v>
      </c>
      <c r="J19" s="30" t="s">
        <v>2</v>
      </c>
      <c r="K19" s="37">
        <v>4</v>
      </c>
      <c r="M19" s="30" t="s">
        <v>2</v>
      </c>
      <c r="N19" s="37">
        <v>1</v>
      </c>
      <c r="O19" s="5"/>
      <c r="P19" s="30" t="s">
        <v>2</v>
      </c>
      <c r="Q19" s="37">
        <v>3</v>
      </c>
      <c r="R19" s="74"/>
      <c r="S19" s="30" t="s">
        <v>2</v>
      </c>
      <c r="T19" s="37">
        <v>3</v>
      </c>
      <c r="U19" s="74"/>
      <c r="V19" s="30" t="s">
        <v>2</v>
      </c>
      <c r="W19" s="37">
        <v>4</v>
      </c>
      <c r="X19" s="50"/>
      <c r="Y19" s="30" t="s">
        <v>2</v>
      </c>
      <c r="Z19" s="37">
        <v>3</v>
      </c>
      <c r="AA19" s="10"/>
      <c r="AB19" s="30" t="s">
        <v>2</v>
      </c>
      <c r="AC19" s="37">
        <v>1</v>
      </c>
      <c r="AD19" s="1"/>
      <c r="AE19" s="30" t="s">
        <v>2</v>
      </c>
      <c r="AF19" s="37">
        <v>8</v>
      </c>
      <c r="AG19" s="1"/>
      <c r="AH19" s="30" t="s">
        <v>2</v>
      </c>
      <c r="AI19" s="37">
        <v>2</v>
      </c>
      <c r="AJ19" s="1"/>
      <c r="AK19" s="30" t="s">
        <v>2</v>
      </c>
      <c r="AL19" s="37">
        <v>6</v>
      </c>
      <c r="AN19" s="30" t="s">
        <v>2</v>
      </c>
      <c r="AO19" s="37">
        <v>2</v>
      </c>
      <c r="AQ19" s="50"/>
      <c r="AR19" s="52"/>
      <c r="AT19" s="30" t="s">
        <v>2</v>
      </c>
      <c r="AU19" s="37">
        <v>11</v>
      </c>
      <c r="AW19" s="106" t="s">
        <v>2</v>
      </c>
      <c r="AX19" s="107">
        <v>2</v>
      </c>
      <c r="AZ19" s="106" t="s">
        <v>2</v>
      </c>
      <c r="BA19" s="107">
        <f>4+2+3+2+1</f>
        <v>12</v>
      </c>
      <c r="BB19" s="103"/>
      <c r="BC19" s="30" t="s">
        <v>2</v>
      </c>
      <c r="BD19" s="37">
        <v>6</v>
      </c>
      <c r="BF19" s="30" t="s">
        <v>2</v>
      </c>
      <c r="BG19" s="37">
        <v>4</v>
      </c>
      <c r="BI19" s="30" t="s">
        <v>2</v>
      </c>
      <c r="BJ19" s="37">
        <v>5</v>
      </c>
      <c r="BK19" s="103"/>
      <c r="BL19" s="168" t="s">
        <v>89</v>
      </c>
      <c r="BM19" s="42" t="s">
        <v>2</v>
      </c>
      <c r="BN19" s="37">
        <v>2</v>
      </c>
      <c r="BO19" s="1"/>
      <c r="BP19" s="1"/>
      <c r="BQ19" s="1"/>
    </row>
    <row r="20" spans="1:69" s="6" customFormat="1" ht="15" customHeight="1" x14ac:dyDescent="0.35">
      <c r="A20" s="196"/>
      <c r="B20" s="32" t="s">
        <v>9</v>
      </c>
      <c r="C20" s="55" t="s">
        <v>5</v>
      </c>
      <c r="D20" s="90" t="s">
        <v>6</v>
      </c>
      <c r="E20" s="39" t="s">
        <v>10</v>
      </c>
      <c r="F20" s="14"/>
      <c r="G20" s="64"/>
      <c r="H20" s="59"/>
      <c r="J20" s="161" t="s">
        <v>58</v>
      </c>
      <c r="K20" s="59"/>
      <c r="M20" s="64"/>
      <c r="N20" s="59"/>
      <c r="O20" s="5"/>
      <c r="P20" s="64"/>
      <c r="Q20" s="59"/>
      <c r="R20" s="74"/>
      <c r="S20" s="64"/>
      <c r="T20" s="59"/>
      <c r="U20" s="74"/>
      <c r="V20" s="64"/>
      <c r="W20" s="59"/>
      <c r="X20" s="50"/>
      <c r="Y20" s="64"/>
      <c r="Z20" s="59"/>
      <c r="AA20" s="10"/>
      <c r="AB20" s="64"/>
      <c r="AC20" s="59"/>
      <c r="AD20" s="1"/>
      <c r="AE20" s="64"/>
      <c r="AF20" s="59"/>
      <c r="AG20" s="1"/>
      <c r="AH20" s="64"/>
      <c r="AI20" s="59"/>
      <c r="AJ20" s="1"/>
      <c r="AK20" s="153" t="s">
        <v>42</v>
      </c>
      <c r="AL20" s="59"/>
      <c r="AN20" s="153" t="s">
        <v>16</v>
      </c>
      <c r="AO20" s="59"/>
      <c r="AQ20" s="198"/>
      <c r="AR20" s="50"/>
      <c r="AT20" s="153" t="s">
        <v>82</v>
      </c>
      <c r="AU20" s="59"/>
      <c r="AW20" s="199" t="s">
        <v>45</v>
      </c>
      <c r="AX20" s="108"/>
      <c r="AZ20" s="199" t="s">
        <v>84</v>
      </c>
      <c r="BA20" s="108"/>
      <c r="BB20" s="103"/>
      <c r="BC20" s="153" t="s">
        <v>46</v>
      </c>
      <c r="BD20" s="59"/>
      <c r="BF20" s="153" t="s">
        <v>21</v>
      </c>
      <c r="BG20" s="59"/>
      <c r="BI20" s="23"/>
      <c r="BJ20" s="24"/>
      <c r="BK20" s="103"/>
      <c r="BL20" s="162"/>
      <c r="BM20" s="43"/>
      <c r="BN20" s="26"/>
      <c r="BO20" s="1"/>
      <c r="BP20" s="1"/>
      <c r="BQ20" s="1"/>
    </row>
    <row r="21" spans="1:69" s="6" customFormat="1" ht="58.5" customHeight="1" x14ac:dyDescent="0.35">
      <c r="A21" s="78"/>
      <c r="B21" s="56" t="s">
        <v>16</v>
      </c>
      <c r="C21" s="57" t="s">
        <v>8</v>
      </c>
      <c r="D21" s="57" t="s">
        <v>8</v>
      </c>
      <c r="E21" s="58" t="s">
        <v>37</v>
      </c>
      <c r="F21" s="14"/>
      <c r="G21" s="33" t="s">
        <v>18</v>
      </c>
      <c r="H21" s="26"/>
      <c r="J21" s="162"/>
      <c r="K21" s="26"/>
      <c r="M21" s="33" t="s">
        <v>22</v>
      </c>
      <c r="N21" s="26"/>
      <c r="O21" s="5"/>
      <c r="P21" s="33" t="s">
        <v>64</v>
      </c>
      <c r="Q21" s="26"/>
      <c r="R21" s="74"/>
      <c r="S21" s="33" t="s">
        <v>64</v>
      </c>
      <c r="T21" s="26"/>
      <c r="U21" s="74"/>
      <c r="V21" s="33" t="s">
        <v>66</v>
      </c>
      <c r="W21" s="26"/>
      <c r="X21" s="50"/>
      <c r="Y21" s="33" t="s">
        <v>68</v>
      </c>
      <c r="Z21" s="26"/>
      <c r="AA21" s="10"/>
      <c r="AB21" s="33" t="s">
        <v>70</v>
      </c>
      <c r="AC21" s="26"/>
      <c r="AD21" s="1"/>
      <c r="AE21" s="33" t="s">
        <v>74</v>
      </c>
      <c r="AF21" s="26"/>
      <c r="AG21" s="1"/>
      <c r="AH21" s="33" t="s">
        <v>75</v>
      </c>
      <c r="AI21" s="26"/>
      <c r="AJ21" s="1"/>
      <c r="AK21" s="154"/>
      <c r="AL21" s="26"/>
      <c r="AN21" s="154"/>
      <c r="AO21" s="26"/>
      <c r="AQ21" s="198"/>
      <c r="AR21" s="50"/>
      <c r="AT21" s="154"/>
      <c r="AU21" s="26"/>
      <c r="AW21" s="154"/>
      <c r="AX21" s="26"/>
      <c r="AZ21" s="154"/>
      <c r="BA21" s="26"/>
      <c r="BB21" s="103"/>
      <c r="BC21" s="154"/>
      <c r="BD21" s="26"/>
      <c r="BF21" s="154"/>
      <c r="BG21" s="26"/>
      <c r="BI21" s="48" t="s">
        <v>48</v>
      </c>
      <c r="BJ21" s="24"/>
      <c r="BK21" s="103"/>
      <c r="BL21" s="162"/>
      <c r="BM21" s="44" t="s">
        <v>24</v>
      </c>
      <c r="BN21" s="40"/>
      <c r="BO21" s="1"/>
      <c r="BP21" s="1"/>
      <c r="BQ21" s="1"/>
    </row>
    <row r="22" spans="1:69" s="6" customFormat="1" ht="29.25" customHeight="1" thickBot="1" x14ac:dyDescent="0.4">
      <c r="A22" s="78"/>
      <c r="B22" s="202" t="s">
        <v>55</v>
      </c>
      <c r="C22" s="203"/>
      <c r="D22" s="203"/>
      <c r="E22" s="204"/>
      <c r="F22" s="14"/>
      <c r="G22" s="33"/>
      <c r="H22" s="26"/>
      <c r="J22" s="33"/>
      <c r="K22" s="26"/>
      <c r="M22" s="33"/>
      <c r="N22" s="26"/>
      <c r="O22" s="5"/>
      <c r="P22" s="34"/>
      <c r="Q22" s="22"/>
      <c r="R22" s="74"/>
      <c r="S22" s="34"/>
      <c r="T22" s="22"/>
      <c r="U22" s="74"/>
      <c r="V22" s="34"/>
      <c r="W22" s="22"/>
      <c r="X22" s="50"/>
      <c r="Y22" s="33"/>
      <c r="Z22" s="26"/>
      <c r="AA22" s="10"/>
      <c r="AB22" s="33"/>
      <c r="AC22" s="26"/>
      <c r="AD22" s="1"/>
      <c r="AE22" s="33"/>
      <c r="AF22" s="26"/>
      <c r="AG22" s="1"/>
      <c r="AH22" s="33"/>
      <c r="AI22" s="26"/>
      <c r="AJ22" s="1"/>
      <c r="AK22" s="197"/>
      <c r="AL22" s="26"/>
      <c r="AN22" s="197"/>
      <c r="AO22" s="26"/>
      <c r="AQ22" s="63"/>
      <c r="AR22" s="50"/>
      <c r="AT22" s="197"/>
      <c r="AU22" s="26"/>
      <c r="AW22" s="200"/>
      <c r="AX22" s="22"/>
      <c r="AZ22" s="200"/>
      <c r="BA22" s="22"/>
      <c r="BB22" s="103"/>
      <c r="BC22" s="61"/>
      <c r="BD22" s="26"/>
      <c r="BF22" s="61"/>
      <c r="BG22" s="26"/>
      <c r="BI22" s="48"/>
      <c r="BJ22" s="24"/>
      <c r="BK22" s="103"/>
      <c r="BL22" s="162"/>
      <c r="BM22" s="44"/>
      <c r="BN22" s="40"/>
      <c r="BO22" s="1"/>
      <c r="BP22" s="1"/>
      <c r="BQ22" s="1"/>
    </row>
    <row r="23" spans="1:69" s="6" customFormat="1" ht="15" customHeight="1" thickBot="1" x14ac:dyDescent="0.4">
      <c r="A23" s="196"/>
      <c r="B23" s="28" t="s">
        <v>3</v>
      </c>
      <c r="C23" s="54"/>
      <c r="D23" s="54"/>
      <c r="E23" s="38">
        <v>10</v>
      </c>
      <c r="F23" s="14"/>
      <c r="G23" s="28" t="s">
        <v>3</v>
      </c>
      <c r="H23" s="38">
        <v>3</v>
      </c>
      <c r="J23" s="28" t="s">
        <v>3</v>
      </c>
      <c r="K23" s="38">
        <v>4</v>
      </c>
      <c r="M23" s="28" t="s">
        <v>3</v>
      </c>
      <c r="N23" s="38">
        <v>1</v>
      </c>
      <c r="O23" s="5"/>
      <c r="P23" s="5"/>
      <c r="Q23" s="5"/>
      <c r="R23" s="74"/>
      <c r="S23" s="74"/>
      <c r="T23" s="74"/>
      <c r="U23" s="74"/>
      <c r="V23" s="74"/>
      <c r="W23" s="74"/>
      <c r="X23" s="74"/>
      <c r="Y23" s="28" t="s">
        <v>3</v>
      </c>
      <c r="Z23" s="38">
        <v>2</v>
      </c>
      <c r="AA23" s="10"/>
      <c r="AB23" s="28" t="s">
        <v>3</v>
      </c>
      <c r="AC23" s="38">
        <v>1</v>
      </c>
      <c r="AD23" s="1"/>
      <c r="AE23" s="28" t="s">
        <v>3</v>
      </c>
      <c r="AF23" s="38">
        <v>1</v>
      </c>
      <c r="AG23" s="1"/>
      <c r="AH23" s="28" t="s">
        <v>3</v>
      </c>
      <c r="AI23" s="38">
        <v>2</v>
      </c>
      <c r="AJ23" s="1"/>
      <c r="AK23" s="28" t="s">
        <v>3</v>
      </c>
      <c r="AL23" s="38">
        <v>3</v>
      </c>
      <c r="AN23" s="28"/>
      <c r="AO23" s="29"/>
      <c r="AQ23" s="50"/>
      <c r="AR23" s="50"/>
      <c r="AT23" s="109" t="s">
        <v>3</v>
      </c>
      <c r="AU23" s="86">
        <v>2</v>
      </c>
      <c r="AW23" s="74"/>
      <c r="AX23" s="74"/>
      <c r="AY23" s="74"/>
      <c r="AZ23" s="74"/>
      <c r="BA23" s="74"/>
      <c r="BB23" s="103"/>
      <c r="BC23" s="28" t="s">
        <v>3</v>
      </c>
      <c r="BD23" s="38">
        <v>5</v>
      </c>
      <c r="BF23" s="28" t="s">
        <v>3</v>
      </c>
      <c r="BG23" s="38">
        <v>2</v>
      </c>
      <c r="BI23" s="28" t="s">
        <v>3</v>
      </c>
      <c r="BJ23" s="38">
        <v>3</v>
      </c>
      <c r="BK23" s="103"/>
      <c r="BL23" s="162"/>
      <c r="BM23" s="45" t="s">
        <v>3</v>
      </c>
      <c r="BN23" s="38">
        <v>1</v>
      </c>
      <c r="BO23" s="1"/>
      <c r="BP23" s="1"/>
      <c r="BQ23" s="1"/>
    </row>
    <row r="24" spans="1:69" s="6" customFormat="1" ht="15" customHeight="1" x14ac:dyDescent="0.35">
      <c r="A24" s="196"/>
      <c r="B24" s="32" t="s">
        <v>9</v>
      </c>
      <c r="C24" s="55" t="s">
        <v>5</v>
      </c>
      <c r="D24" s="90" t="s">
        <v>6</v>
      </c>
      <c r="E24" s="39" t="s">
        <v>10</v>
      </c>
      <c r="F24" s="14"/>
      <c r="G24" s="25"/>
      <c r="H24" s="59"/>
      <c r="J24" s="161" t="s">
        <v>61</v>
      </c>
      <c r="K24" s="59"/>
      <c r="M24" s="25"/>
      <c r="N24" s="59"/>
      <c r="O24" s="5"/>
      <c r="P24" s="5"/>
      <c r="Q24" s="5"/>
      <c r="R24" s="74"/>
      <c r="S24" s="74"/>
      <c r="T24" s="74"/>
      <c r="U24" s="74"/>
      <c r="V24" s="74"/>
      <c r="W24" s="74"/>
      <c r="X24" s="74"/>
      <c r="Y24" s="25"/>
      <c r="Z24" s="59"/>
      <c r="AA24" s="10"/>
      <c r="AB24" s="25"/>
      <c r="AC24" s="59"/>
      <c r="AD24" s="1"/>
      <c r="AE24" s="25"/>
      <c r="AF24" s="59"/>
      <c r="AG24" s="1"/>
      <c r="AH24" s="25"/>
      <c r="AI24" s="59"/>
      <c r="AJ24" s="1"/>
      <c r="AK24" s="64"/>
      <c r="AL24" s="59"/>
      <c r="AN24" s="64"/>
      <c r="AO24" s="59"/>
      <c r="AQ24" s="50"/>
      <c r="AR24" s="50"/>
      <c r="AT24" s="110"/>
      <c r="AU24" s="108"/>
      <c r="AW24" s="74"/>
      <c r="AX24" s="74"/>
      <c r="AY24" s="74"/>
      <c r="AZ24" s="74"/>
      <c r="BA24" s="74"/>
      <c r="BB24" s="103"/>
      <c r="BC24" s="153" t="s">
        <v>47</v>
      </c>
      <c r="BD24" s="59"/>
      <c r="BF24" s="64"/>
      <c r="BG24" s="59"/>
      <c r="BI24" s="23"/>
      <c r="BJ24" s="24"/>
      <c r="BK24" s="103"/>
      <c r="BL24" s="162"/>
      <c r="BM24" s="43"/>
      <c r="BN24" s="26"/>
      <c r="BO24" s="1"/>
      <c r="BP24" s="1"/>
      <c r="BQ24" s="1"/>
    </row>
    <row r="25" spans="1:69" s="6" customFormat="1" ht="50.15" customHeight="1" x14ac:dyDescent="0.35">
      <c r="A25" s="78"/>
      <c r="B25" s="56" t="s">
        <v>16</v>
      </c>
      <c r="C25" s="57" t="s">
        <v>8</v>
      </c>
      <c r="D25" s="57" t="s">
        <v>8</v>
      </c>
      <c r="E25" s="58" t="s">
        <v>37</v>
      </c>
      <c r="F25" s="14"/>
      <c r="G25" s="33" t="s">
        <v>38</v>
      </c>
      <c r="H25" s="26"/>
      <c r="J25" s="162"/>
      <c r="K25" s="26"/>
      <c r="M25" s="33" t="s">
        <v>22</v>
      </c>
      <c r="N25" s="26"/>
      <c r="O25" s="5"/>
      <c r="P25" s="5"/>
      <c r="Q25" s="5"/>
      <c r="R25" s="74"/>
      <c r="S25" s="74"/>
      <c r="T25" s="74"/>
      <c r="U25" s="74"/>
      <c r="V25" s="74"/>
      <c r="W25" s="74"/>
      <c r="X25" s="74"/>
      <c r="Y25" s="33" t="s">
        <v>39</v>
      </c>
      <c r="Z25" s="26"/>
      <c r="AA25" s="10"/>
      <c r="AB25" s="33" t="s">
        <v>22</v>
      </c>
      <c r="AC25" s="26"/>
      <c r="AD25" s="1"/>
      <c r="AE25" s="33" t="s">
        <v>22</v>
      </c>
      <c r="AF25" s="26"/>
      <c r="AG25" s="1"/>
      <c r="AH25" s="33" t="s">
        <v>75</v>
      </c>
      <c r="AI25" s="26"/>
      <c r="AJ25" s="1"/>
      <c r="AK25" s="25" t="s">
        <v>7</v>
      </c>
      <c r="AL25" s="26"/>
      <c r="AN25" s="33"/>
      <c r="AO25" s="26"/>
      <c r="AQ25" s="50"/>
      <c r="AR25" s="50"/>
      <c r="AT25" s="25" t="s">
        <v>45</v>
      </c>
      <c r="AU25" s="26"/>
      <c r="AW25" s="74"/>
      <c r="AX25" s="74"/>
      <c r="AY25" s="74"/>
      <c r="AZ25" s="74"/>
      <c r="BA25" s="74"/>
      <c r="BB25" s="103"/>
      <c r="BC25" s="154"/>
      <c r="BD25" s="26"/>
      <c r="BF25" s="25" t="s">
        <v>20</v>
      </c>
      <c r="BG25" s="26"/>
      <c r="BI25" s="23" t="s">
        <v>87</v>
      </c>
      <c r="BJ25" s="24"/>
      <c r="BK25" s="103"/>
      <c r="BL25" s="162"/>
      <c r="BM25" s="43" t="s">
        <v>23</v>
      </c>
      <c r="BN25" s="26"/>
      <c r="BO25" s="1"/>
      <c r="BP25" s="1"/>
      <c r="BQ25" s="1"/>
    </row>
    <row r="26" spans="1:69" s="6" customFormat="1" ht="15.75" customHeight="1" thickBot="1" x14ac:dyDescent="0.4">
      <c r="A26" s="78"/>
      <c r="B26" s="202" t="s">
        <v>55</v>
      </c>
      <c r="C26" s="203"/>
      <c r="D26" s="203"/>
      <c r="E26" s="204"/>
      <c r="F26" s="14"/>
      <c r="G26" s="33"/>
      <c r="H26" s="26"/>
      <c r="J26" s="33"/>
      <c r="K26" s="26"/>
      <c r="M26" s="33"/>
      <c r="N26" s="26"/>
      <c r="O26" s="5"/>
      <c r="P26" s="5"/>
      <c r="Q26" s="5"/>
      <c r="R26" s="74"/>
      <c r="S26" s="74"/>
      <c r="T26" s="74"/>
      <c r="U26" s="74"/>
      <c r="V26" s="74"/>
      <c r="W26" s="74"/>
      <c r="X26" s="74"/>
      <c r="Y26" s="33"/>
      <c r="Z26" s="26"/>
      <c r="AA26" s="10"/>
      <c r="AB26" s="33"/>
      <c r="AC26" s="26"/>
      <c r="AD26" s="1"/>
      <c r="AE26" s="33"/>
      <c r="AF26" s="26"/>
      <c r="AG26" s="1"/>
      <c r="AH26" s="33"/>
      <c r="AI26" s="26"/>
      <c r="AJ26" s="1"/>
      <c r="AK26" s="33"/>
      <c r="AL26" s="26"/>
      <c r="AN26" s="33"/>
      <c r="AO26" s="26"/>
      <c r="AQ26" s="50"/>
      <c r="AR26" s="50"/>
      <c r="AT26" s="21"/>
      <c r="AU26" s="22"/>
      <c r="AW26" s="74"/>
      <c r="AX26" s="74"/>
      <c r="AY26" s="74"/>
      <c r="AZ26" s="74"/>
      <c r="BA26" s="74"/>
      <c r="BB26" s="103"/>
      <c r="BC26" s="25"/>
      <c r="BD26" s="26"/>
      <c r="BF26" s="25"/>
      <c r="BG26" s="26"/>
      <c r="BI26" s="23"/>
      <c r="BJ26" s="24"/>
      <c r="BK26" s="103"/>
      <c r="BL26" s="162"/>
      <c r="BM26" s="43"/>
      <c r="BN26" s="26"/>
      <c r="BO26" s="1"/>
      <c r="BP26" s="1"/>
      <c r="BQ26" s="1"/>
    </row>
    <row r="27" spans="1:69" s="6" customFormat="1" ht="18.75" customHeight="1" x14ac:dyDescent="0.35">
      <c r="A27" s="196"/>
      <c r="B27" s="28" t="s">
        <v>4</v>
      </c>
      <c r="C27" s="54"/>
      <c r="D27" s="54"/>
      <c r="E27" s="38">
        <v>10</v>
      </c>
      <c r="F27" s="14"/>
      <c r="G27" s="28" t="s">
        <v>4</v>
      </c>
      <c r="H27" s="38">
        <v>3</v>
      </c>
      <c r="J27" s="28" t="s">
        <v>4</v>
      </c>
      <c r="K27" s="38">
        <v>4</v>
      </c>
      <c r="M27" s="28" t="s">
        <v>4</v>
      </c>
      <c r="N27" s="38">
        <v>1</v>
      </c>
      <c r="O27" s="5"/>
      <c r="P27" s="5"/>
      <c r="Q27" s="5"/>
      <c r="R27" s="74"/>
      <c r="S27" s="74"/>
      <c r="T27" s="74"/>
      <c r="U27" s="74"/>
      <c r="V27" s="74"/>
      <c r="W27" s="74"/>
      <c r="X27" s="74"/>
      <c r="Y27" s="28" t="s">
        <v>4</v>
      </c>
      <c r="Z27" s="38">
        <v>2</v>
      </c>
      <c r="AA27" s="10"/>
      <c r="AB27" s="28" t="s">
        <v>4</v>
      </c>
      <c r="AC27" s="38">
        <v>1</v>
      </c>
      <c r="AD27" s="1"/>
      <c r="AE27" s="28" t="s">
        <v>4</v>
      </c>
      <c r="AF27" s="38">
        <v>1</v>
      </c>
      <c r="AG27" s="1"/>
      <c r="AH27" s="28" t="s">
        <v>4</v>
      </c>
      <c r="AI27" s="38">
        <v>2</v>
      </c>
      <c r="AJ27" s="1"/>
      <c r="AK27" s="28" t="s">
        <v>4</v>
      </c>
      <c r="AL27" s="38">
        <v>3</v>
      </c>
      <c r="AN27" s="28"/>
      <c r="AO27" s="29"/>
      <c r="AQ27" s="211"/>
      <c r="AR27" s="211"/>
      <c r="AS27" s="74"/>
      <c r="AT27" s="74"/>
      <c r="AU27" s="74"/>
      <c r="AV27" s="74"/>
      <c r="AW27" s="74"/>
      <c r="AX27" s="74"/>
      <c r="AY27" s="74"/>
      <c r="AZ27" s="74"/>
      <c r="BA27" s="74"/>
      <c r="BB27" s="103"/>
      <c r="BC27" s="28" t="s">
        <v>4</v>
      </c>
      <c r="BD27" s="38">
        <v>5</v>
      </c>
      <c r="BF27" s="28" t="s">
        <v>4</v>
      </c>
      <c r="BG27" s="38">
        <v>2</v>
      </c>
      <c r="BI27" s="28"/>
      <c r="BJ27" s="38"/>
      <c r="BK27" s="103"/>
      <c r="BL27" s="162"/>
      <c r="BM27" s="84" t="s">
        <v>4</v>
      </c>
      <c r="BN27" s="38">
        <v>1</v>
      </c>
      <c r="BO27" s="1"/>
      <c r="BP27" s="1"/>
      <c r="BQ27" s="1"/>
    </row>
    <row r="28" spans="1:69" s="6" customFormat="1" ht="15" customHeight="1" x14ac:dyDescent="0.35">
      <c r="A28" s="196"/>
      <c r="B28" s="32" t="s">
        <v>9</v>
      </c>
      <c r="C28" s="55" t="s">
        <v>5</v>
      </c>
      <c r="D28" s="90" t="s">
        <v>6</v>
      </c>
      <c r="E28" s="39" t="s">
        <v>10</v>
      </c>
      <c r="F28" s="14"/>
      <c r="G28" s="25"/>
      <c r="H28" s="59"/>
      <c r="J28" s="25" t="s">
        <v>59</v>
      </c>
      <c r="K28" s="59"/>
      <c r="M28" s="25"/>
      <c r="N28" s="59"/>
      <c r="O28" s="5"/>
      <c r="P28" s="5"/>
      <c r="Q28" s="5"/>
      <c r="R28" s="74"/>
      <c r="S28" s="74"/>
      <c r="T28" s="74"/>
      <c r="U28" s="74"/>
      <c r="V28" s="74"/>
      <c r="W28" s="74"/>
      <c r="X28" s="74"/>
      <c r="Y28" s="25"/>
      <c r="Z28" s="59"/>
      <c r="AA28" s="10"/>
      <c r="AB28" s="25"/>
      <c r="AC28" s="59"/>
      <c r="AD28" s="1"/>
      <c r="AE28" s="25"/>
      <c r="AF28" s="59"/>
      <c r="AG28" s="1"/>
      <c r="AH28" s="161" t="s">
        <v>75</v>
      </c>
      <c r="AI28" s="59"/>
      <c r="AJ28" s="1"/>
      <c r="AK28" s="153" t="s">
        <v>7</v>
      </c>
      <c r="AL28" s="59"/>
      <c r="AN28" s="64"/>
      <c r="AO28" s="59"/>
      <c r="AQ28" s="50"/>
      <c r="AR28" s="50"/>
      <c r="AS28" s="74"/>
      <c r="AT28" s="74"/>
      <c r="AU28" s="74"/>
      <c r="AV28" s="74"/>
      <c r="AW28" s="74"/>
      <c r="AX28" s="74"/>
      <c r="AY28" s="74"/>
      <c r="AZ28" s="74"/>
      <c r="BA28" s="74"/>
      <c r="BB28" s="103"/>
      <c r="BC28" s="153" t="s">
        <v>47</v>
      </c>
      <c r="BD28" s="59"/>
      <c r="BF28" s="153" t="s">
        <v>20</v>
      </c>
      <c r="BG28" s="59"/>
      <c r="BI28" s="23"/>
      <c r="BJ28" s="24"/>
      <c r="BK28" s="103"/>
      <c r="BL28" s="162"/>
      <c r="BM28" s="208" t="s">
        <v>11</v>
      </c>
      <c r="BN28" s="26"/>
      <c r="BO28" s="1"/>
      <c r="BP28" s="1"/>
      <c r="BQ28" s="1"/>
    </row>
    <row r="29" spans="1:69" s="6" customFormat="1" ht="15" customHeight="1" x14ac:dyDescent="0.35">
      <c r="B29" s="56" t="s">
        <v>16</v>
      </c>
      <c r="C29" s="57" t="s">
        <v>8</v>
      </c>
      <c r="D29" s="57" t="s">
        <v>8</v>
      </c>
      <c r="E29" s="58" t="s">
        <v>37</v>
      </c>
      <c r="F29" s="14"/>
      <c r="G29" s="33" t="s">
        <v>8</v>
      </c>
      <c r="H29" s="26"/>
      <c r="J29" s="33" t="s">
        <v>60</v>
      </c>
      <c r="K29" s="26"/>
      <c r="M29" s="33" t="s">
        <v>17</v>
      </c>
      <c r="N29" s="26"/>
      <c r="O29" s="5"/>
      <c r="P29" s="5"/>
      <c r="Q29" s="5"/>
      <c r="R29" s="74"/>
      <c r="S29" s="74"/>
      <c r="T29" s="74"/>
      <c r="U29" s="74"/>
      <c r="V29" s="74"/>
      <c r="W29" s="74"/>
      <c r="X29" s="74"/>
      <c r="Y29" s="33" t="s">
        <v>22</v>
      </c>
      <c r="Z29" s="26"/>
      <c r="AA29" s="10"/>
      <c r="AB29" s="33" t="s">
        <v>17</v>
      </c>
      <c r="AC29" s="26"/>
      <c r="AD29" s="1"/>
      <c r="AE29" s="33" t="s">
        <v>17</v>
      </c>
      <c r="AF29" s="26"/>
      <c r="AG29" s="1"/>
      <c r="AH29" s="162"/>
      <c r="AI29" s="26"/>
      <c r="AJ29" s="1"/>
      <c r="AK29" s="154"/>
      <c r="AL29" s="26"/>
      <c r="AN29" s="25"/>
      <c r="AO29" s="26"/>
      <c r="AQ29" s="50"/>
      <c r="AR29" s="50"/>
      <c r="AS29" s="74"/>
      <c r="AT29" s="74"/>
      <c r="AU29" s="74"/>
      <c r="AV29" s="74"/>
      <c r="AW29" s="74"/>
      <c r="AX29" s="74"/>
      <c r="AY29" s="74"/>
      <c r="AZ29" s="74"/>
      <c r="BA29" s="74"/>
      <c r="BB29" s="103"/>
      <c r="BC29" s="154"/>
      <c r="BD29" s="26"/>
      <c r="BF29" s="154"/>
      <c r="BG29" s="26"/>
      <c r="BI29" s="23"/>
      <c r="BJ29" s="24"/>
      <c r="BK29" s="103"/>
      <c r="BL29" s="162"/>
      <c r="BM29" s="209"/>
      <c r="BN29" s="26"/>
      <c r="BO29" s="1"/>
      <c r="BP29" s="1"/>
      <c r="BQ29" s="1"/>
    </row>
    <row r="30" spans="1:69" s="6" customFormat="1" ht="50.15" customHeight="1" thickBot="1" x14ac:dyDescent="0.4">
      <c r="B30" s="205" t="s">
        <v>55</v>
      </c>
      <c r="C30" s="206"/>
      <c r="D30" s="206"/>
      <c r="E30" s="207"/>
      <c r="F30" s="14"/>
      <c r="G30" s="34" t="s">
        <v>19</v>
      </c>
      <c r="H30" s="22"/>
      <c r="J30" s="34" t="s">
        <v>62</v>
      </c>
      <c r="K30" s="22"/>
      <c r="M30" s="34"/>
      <c r="N30" s="22"/>
      <c r="O30" s="5"/>
      <c r="P30" s="5"/>
      <c r="Q30" s="5"/>
      <c r="R30" s="74"/>
      <c r="S30" s="74"/>
      <c r="T30" s="74"/>
      <c r="U30" s="74"/>
      <c r="V30" s="74"/>
      <c r="W30" s="74"/>
      <c r="X30" s="74"/>
      <c r="Y30" s="34" t="s">
        <v>19</v>
      </c>
      <c r="Z30" s="22"/>
      <c r="AA30" s="10"/>
      <c r="AB30" s="34"/>
      <c r="AC30" s="22"/>
      <c r="AD30" s="1"/>
      <c r="AE30" s="34"/>
      <c r="AF30" s="22"/>
      <c r="AG30" s="1"/>
      <c r="AH30" s="34"/>
      <c r="AI30" s="22"/>
      <c r="AJ30" s="1"/>
      <c r="AK30" s="200"/>
      <c r="AL30" s="22"/>
      <c r="AN30" s="34"/>
      <c r="AO30" s="22"/>
      <c r="AQ30" s="50"/>
      <c r="AR30" s="50"/>
      <c r="AS30" s="74"/>
      <c r="AT30" s="74"/>
      <c r="AU30" s="74"/>
      <c r="AV30" s="74"/>
      <c r="AW30" s="74"/>
      <c r="AX30" s="74"/>
      <c r="AY30" s="74"/>
      <c r="AZ30" s="74"/>
      <c r="BA30" s="74"/>
      <c r="BB30" s="103"/>
      <c r="BC30" s="200"/>
      <c r="BD30" s="22"/>
      <c r="BF30" s="200"/>
      <c r="BG30" s="22"/>
      <c r="BI30" s="21"/>
      <c r="BJ30" s="22"/>
      <c r="BK30" s="103"/>
      <c r="BL30" s="169"/>
      <c r="BM30" s="210"/>
      <c r="BN30" s="41"/>
      <c r="BO30" s="1"/>
      <c r="BP30" s="1"/>
      <c r="BQ30" s="1"/>
    </row>
    <row r="31" spans="1:69" s="6" customFormat="1" ht="19.899999999999999" customHeight="1" thickBot="1" x14ac:dyDescent="0.4">
      <c r="B31" s="60"/>
      <c r="C31" s="60"/>
      <c r="D31" s="60"/>
      <c r="E31" s="62"/>
      <c r="F31" s="14"/>
      <c r="M31" s="51"/>
      <c r="N31" s="50"/>
      <c r="O31" s="5"/>
      <c r="P31" s="5"/>
      <c r="Q31" s="5"/>
      <c r="R31" s="74"/>
      <c r="S31" s="74"/>
      <c r="T31" s="74"/>
      <c r="U31" s="74"/>
      <c r="Y31" s="5"/>
      <c r="AA31" s="10"/>
      <c r="AD31" s="1"/>
      <c r="AE31" s="1"/>
      <c r="AF31" s="1"/>
      <c r="AG31" s="1"/>
      <c r="AH31" s="1"/>
      <c r="AI31" s="1"/>
      <c r="AJ31" s="1"/>
      <c r="AK31" s="51"/>
      <c r="AL31" s="50"/>
      <c r="AQ31" s="50"/>
      <c r="AR31" s="50"/>
      <c r="AT31" s="50"/>
      <c r="AU31" s="50"/>
      <c r="AW31" s="74"/>
      <c r="AX31" s="74"/>
      <c r="AY31" s="74"/>
      <c r="AZ31" s="74"/>
      <c r="BA31" s="74"/>
      <c r="BB31" s="103"/>
      <c r="BC31" s="50"/>
      <c r="BD31" s="50"/>
      <c r="BF31" s="50"/>
      <c r="BG31" s="50"/>
      <c r="BI31" s="50"/>
      <c r="BJ31" s="50"/>
      <c r="BK31" s="103"/>
      <c r="BL31" s="63"/>
      <c r="BM31" s="27"/>
      <c r="BN31" s="27"/>
      <c r="BO31" s="1"/>
      <c r="BP31" s="1"/>
      <c r="BQ31" s="1"/>
    </row>
    <row r="32" spans="1:69" ht="18.649999999999999" customHeight="1" thickBot="1" x14ac:dyDescent="0.4">
      <c r="B32" s="123" t="s">
        <v>25</v>
      </c>
      <c r="C32" s="136"/>
      <c r="D32" s="136"/>
      <c r="E32" s="124"/>
      <c r="F32" s="74"/>
      <c r="G32" s="123" t="s">
        <v>25</v>
      </c>
      <c r="H32" s="124"/>
      <c r="I32" s="74"/>
      <c r="J32" s="123" t="s">
        <v>25</v>
      </c>
      <c r="K32" s="124"/>
      <c r="L32" s="74"/>
      <c r="M32" s="123" t="s">
        <v>25</v>
      </c>
      <c r="N32" s="124"/>
      <c r="O32" s="74"/>
      <c r="P32" s="74"/>
      <c r="Q32" s="74"/>
      <c r="R32" s="74"/>
      <c r="S32" s="74"/>
      <c r="T32" s="74"/>
      <c r="U32" s="74"/>
      <c r="V32" s="74"/>
      <c r="W32" s="74"/>
      <c r="X32" s="74"/>
      <c r="Y32" s="123" t="s">
        <v>25</v>
      </c>
      <c r="Z32" s="136"/>
      <c r="AA32" s="136"/>
      <c r="AB32" s="136"/>
      <c r="AC32" s="124"/>
      <c r="AE32" s="123" t="s">
        <v>25</v>
      </c>
      <c r="AF32" s="136"/>
      <c r="AG32" s="136"/>
      <c r="AH32" s="136"/>
      <c r="AI32" s="124"/>
      <c r="AK32" s="123" t="s">
        <v>25</v>
      </c>
      <c r="AL32" s="124"/>
      <c r="AT32" s="123" t="s">
        <v>25</v>
      </c>
      <c r="AU32" s="124"/>
      <c r="AV32" s="74"/>
      <c r="AW32" s="74"/>
      <c r="AX32" s="74"/>
      <c r="AY32" s="74"/>
      <c r="AZ32" s="74"/>
      <c r="BA32" s="74"/>
      <c r="BB32" s="74"/>
      <c r="BC32" s="123" t="s">
        <v>25</v>
      </c>
      <c r="BD32" s="124"/>
      <c r="BE32" s="74"/>
      <c r="BF32" s="123" t="s">
        <v>25</v>
      </c>
      <c r="BG32" s="124"/>
      <c r="BH32" s="74"/>
      <c r="BI32" s="74"/>
      <c r="BJ32" s="74"/>
      <c r="BK32" s="103"/>
      <c r="BL32" s="123" t="s">
        <v>25</v>
      </c>
      <c r="BM32" s="124"/>
      <c r="BN32" s="74"/>
    </row>
    <row r="33" spans="2:65" ht="16.149999999999999" customHeight="1" thickTop="1" x14ac:dyDescent="0.35">
      <c r="B33" s="212" t="s">
        <v>26</v>
      </c>
      <c r="C33" s="213"/>
      <c r="D33" s="213"/>
      <c r="E33" s="214"/>
      <c r="F33" s="80"/>
      <c r="G33" s="168" t="s">
        <v>49</v>
      </c>
      <c r="H33" s="143" t="s">
        <v>98</v>
      </c>
      <c r="J33" s="168" t="s">
        <v>96</v>
      </c>
      <c r="K33" s="143" t="s">
        <v>97</v>
      </c>
      <c r="M33" s="220" t="s">
        <v>50</v>
      </c>
      <c r="N33" s="221" t="s">
        <v>99</v>
      </c>
      <c r="O33" s="74"/>
      <c r="P33" s="74"/>
      <c r="Q33" s="74"/>
      <c r="R33" s="74"/>
      <c r="S33" s="74"/>
      <c r="T33" s="74"/>
      <c r="U33" s="74"/>
      <c r="V33" s="74"/>
      <c r="W33" s="74"/>
      <c r="X33" s="74"/>
      <c r="Y33" s="137" t="s">
        <v>51</v>
      </c>
      <c r="Z33" s="138"/>
      <c r="AA33" s="138"/>
      <c r="AB33" s="138"/>
      <c r="AC33" s="134" t="s">
        <v>100</v>
      </c>
      <c r="AE33" s="141" t="s">
        <v>101</v>
      </c>
      <c r="AF33" s="142"/>
      <c r="AG33" s="142"/>
      <c r="AH33" s="143"/>
      <c r="AI33" s="144" t="s">
        <v>102</v>
      </c>
      <c r="AK33" s="71"/>
      <c r="AL33" s="125">
        <v>76</v>
      </c>
      <c r="AT33" s="71"/>
      <c r="AU33" s="125">
        <v>107</v>
      </c>
      <c r="BC33" s="71"/>
      <c r="BD33" s="125">
        <v>5</v>
      </c>
      <c r="BF33" s="71"/>
      <c r="BG33" s="222">
        <v>2145</v>
      </c>
      <c r="BL33" s="71"/>
      <c r="BM33" s="125">
        <v>73</v>
      </c>
    </row>
    <row r="34" spans="2:65" ht="16.149999999999999" customHeight="1" x14ac:dyDescent="0.35">
      <c r="B34" s="67">
        <v>4</v>
      </c>
      <c r="C34" s="70">
        <v>4</v>
      </c>
      <c r="D34" s="70">
        <v>4</v>
      </c>
      <c r="E34" s="68">
        <v>4</v>
      </c>
      <c r="F34" s="74"/>
      <c r="G34" s="162"/>
      <c r="H34" s="134"/>
      <c r="J34" s="162"/>
      <c r="K34" s="134"/>
      <c r="M34" s="162"/>
      <c r="N34" s="134"/>
      <c r="O34" s="74"/>
      <c r="P34" s="74"/>
      <c r="Q34" s="74"/>
      <c r="R34" s="74"/>
      <c r="S34" s="74"/>
      <c r="T34" s="74"/>
      <c r="U34" s="74"/>
      <c r="V34" s="74"/>
      <c r="W34" s="74"/>
      <c r="X34" s="74"/>
      <c r="Y34" s="137"/>
      <c r="Z34" s="138"/>
      <c r="AA34" s="138"/>
      <c r="AB34" s="138"/>
      <c r="AC34" s="134"/>
      <c r="AE34" s="137"/>
      <c r="AF34" s="138"/>
      <c r="AG34" s="138"/>
      <c r="AH34" s="134"/>
      <c r="AI34" s="145"/>
      <c r="AK34" s="72"/>
      <c r="AL34" s="126"/>
      <c r="AT34" s="72"/>
      <c r="AU34" s="126"/>
      <c r="BC34" s="72"/>
      <c r="BD34" s="126"/>
      <c r="BF34" s="72"/>
      <c r="BG34" s="126"/>
      <c r="BL34" s="72"/>
      <c r="BM34" s="126"/>
    </row>
    <row r="35" spans="2:65" ht="7.9" customHeight="1" x14ac:dyDescent="0.35">
      <c r="B35" s="67"/>
      <c r="E35" s="68"/>
      <c r="G35" s="162"/>
      <c r="H35" s="134"/>
      <c r="J35" s="162"/>
      <c r="K35" s="134"/>
      <c r="M35" s="162"/>
      <c r="N35" s="134"/>
      <c r="O35" s="74"/>
      <c r="P35" s="74"/>
      <c r="Q35" s="74"/>
      <c r="R35" s="74"/>
      <c r="S35" s="74"/>
      <c r="T35" s="74"/>
      <c r="U35" s="74"/>
      <c r="V35" s="74"/>
      <c r="W35" s="74"/>
      <c r="X35" s="74"/>
      <c r="Y35" s="137"/>
      <c r="Z35" s="138"/>
      <c r="AA35" s="138"/>
      <c r="AB35" s="138"/>
      <c r="AC35" s="134"/>
      <c r="AE35" s="137"/>
      <c r="AF35" s="138"/>
      <c r="AG35" s="138"/>
      <c r="AH35" s="134"/>
      <c r="AI35" s="145"/>
      <c r="AK35" s="72"/>
      <c r="AL35" s="126"/>
      <c r="AT35" s="72"/>
      <c r="AU35" s="126"/>
      <c r="BC35" s="72"/>
      <c r="BD35" s="126"/>
      <c r="BF35" s="72"/>
      <c r="BG35" s="126"/>
      <c r="BL35" s="72"/>
      <c r="BM35" s="126"/>
    </row>
    <row r="36" spans="2:65" ht="16.149999999999999" customHeight="1" x14ac:dyDescent="0.35">
      <c r="B36" s="215" t="s">
        <v>27</v>
      </c>
      <c r="C36" s="216"/>
      <c r="D36" s="216"/>
      <c r="E36" s="217"/>
      <c r="F36" s="80"/>
      <c r="G36" s="162"/>
      <c r="H36" s="134"/>
      <c r="J36" s="162"/>
      <c r="K36" s="134"/>
      <c r="M36" s="162"/>
      <c r="N36" s="134"/>
      <c r="O36" s="74"/>
      <c r="P36" s="74"/>
      <c r="Q36" s="74"/>
      <c r="R36" s="74"/>
      <c r="S36" s="74"/>
      <c r="T36" s="74"/>
      <c r="U36" s="74"/>
      <c r="V36" s="74"/>
      <c r="W36" s="74"/>
      <c r="X36" s="74"/>
      <c r="Y36" s="137"/>
      <c r="Z36" s="138"/>
      <c r="AA36" s="138"/>
      <c r="AB36" s="138"/>
      <c r="AC36" s="134"/>
      <c r="AE36" s="137"/>
      <c r="AF36" s="138"/>
      <c r="AG36" s="138"/>
      <c r="AH36" s="134"/>
      <c r="AI36" s="145"/>
      <c r="AK36" s="72"/>
      <c r="AL36" s="126"/>
      <c r="AT36" s="72"/>
      <c r="AU36" s="68"/>
      <c r="BC36" s="72"/>
      <c r="BD36" s="126"/>
      <c r="BF36" s="72"/>
      <c r="BG36" s="126"/>
      <c r="BL36" s="72"/>
      <c r="BM36" s="126"/>
    </row>
    <row r="37" spans="2:65" ht="16.149999999999999" customHeight="1" x14ac:dyDescent="0.35">
      <c r="B37" s="67">
        <v>8</v>
      </c>
      <c r="C37" s="70">
        <v>8</v>
      </c>
      <c r="D37" s="70">
        <v>8</v>
      </c>
      <c r="E37" s="68">
        <v>8</v>
      </c>
      <c r="G37" s="162"/>
      <c r="H37" s="134"/>
      <c r="J37" s="162"/>
      <c r="K37" s="134"/>
      <c r="M37" s="162"/>
      <c r="N37" s="134"/>
      <c r="O37" s="74"/>
      <c r="P37" s="74"/>
      <c r="Q37" s="74"/>
      <c r="R37" s="74"/>
      <c r="S37" s="74"/>
      <c r="T37" s="74"/>
      <c r="U37" s="74"/>
      <c r="V37" s="74"/>
      <c r="W37" s="74"/>
      <c r="X37" s="74"/>
      <c r="Y37" s="137"/>
      <c r="Z37" s="138"/>
      <c r="AA37" s="138"/>
      <c r="AB37" s="138"/>
      <c r="AC37" s="134"/>
      <c r="AE37" s="137"/>
      <c r="AF37" s="138"/>
      <c r="AG37" s="138"/>
      <c r="AH37" s="134"/>
      <c r="AI37" s="145"/>
      <c r="AK37" s="72"/>
      <c r="AL37" s="68"/>
      <c r="AT37" s="72"/>
      <c r="AU37" s="68"/>
      <c r="BC37" s="72"/>
      <c r="BD37" s="68"/>
      <c r="BF37" s="72"/>
      <c r="BG37" s="126"/>
      <c r="BL37" s="72"/>
      <c r="BM37" s="68"/>
    </row>
    <row r="38" spans="2:65" ht="7.9" customHeight="1" x14ac:dyDescent="0.35">
      <c r="B38" s="67"/>
      <c r="E38" s="68"/>
      <c r="G38" s="162"/>
      <c r="H38" s="134"/>
      <c r="J38" s="162"/>
      <c r="K38" s="134"/>
      <c r="M38" s="162"/>
      <c r="N38" s="134"/>
      <c r="O38" s="74"/>
      <c r="P38" s="74"/>
      <c r="Q38" s="74"/>
      <c r="R38" s="74"/>
      <c r="S38" s="74"/>
      <c r="T38" s="74"/>
      <c r="U38" s="74"/>
      <c r="V38" s="74"/>
      <c r="W38" s="74"/>
      <c r="X38" s="74"/>
      <c r="Y38" s="137"/>
      <c r="Z38" s="138"/>
      <c r="AA38" s="138"/>
      <c r="AB38" s="138"/>
      <c r="AC38" s="134"/>
      <c r="AE38" s="137"/>
      <c r="AF38" s="138"/>
      <c r="AG38" s="138"/>
      <c r="AH38" s="134"/>
      <c r="AI38" s="145"/>
      <c r="AK38" s="72"/>
      <c r="AL38" s="126">
        <v>5</v>
      </c>
      <c r="AT38" s="72"/>
      <c r="AU38" s="68"/>
      <c r="BC38" s="72"/>
      <c r="BD38" s="68"/>
      <c r="BF38" s="72"/>
      <c r="BG38" s="126"/>
      <c r="BL38" s="72"/>
      <c r="BM38" s="68"/>
    </row>
    <row r="39" spans="2:65" ht="16.149999999999999" customHeight="1" x14ac:dyDescent="0.35">
      <c r="B39" s="215" t="s">
        <v>29</v>
      </c>
      <c r="C39" s="216"/>
      <c r="D39" s="216"/>
      <c r="E39" s="217"/>
      <c r="F39" s="80"/>
      <c r="G39" s="162"/>
      <c r="H39" s="134"/>
      <c r="J39" s="162"/>
      <c r="K39" s="134"/>
      <c r="M39" s="162"/>
      <c r="N39" s="134"/>
      <c r="O39" s="74"/>
      <c r="P39" s="74"/>
      <c r="Q39" s="74"/>
      <c r="R39" s="74"/>
      <c r="S39" s="74"/>
      <c r="T39" s="74"/>
      <c r="U39" s="74"/>
      <c r="V39" s="74"/>
      <c r="W39" s="74"/>
      <c r="X39" s="74"/>
      <c r="Y39" s="137"/>
      <c r="Z39" s="138"/>
      <c r="AA39" s="138"/>
      <c r="AB39" s="138"/>
      <c r="AC39" s="134"/>
      <c r="AE39" s="137"/>
      <c r="AF39" s="138"/>
      <c r="AG39" s="138"/>
      <c r="AH39" s="134"/>
      <c r="AI39" s="145"/>
      <c r="AK39" s="72"/>
      <c r="AL39" s="126"/>
      <c r="AT39" s="72"/>
      <c r="AU39" s="68"/>
      <c r="BB39"/>
      <c r="BC39" s="72"/>
      <c r="BD39" s="68"/>
      <c r="BF39" s="72"/>
      <c r="BG39" s="126"/>
      <c r="BL39" s="72"/>
      <c r="BM39" s="68"/>
    </row>
    <row r="40" spans="2:65" ht="16.149999999999999" customHeight="1" thickBot="1" x14ac:dyDescent="0.4">
      <c r="B40" s="111">
        <v>10.5</v>
      </c>
      <c r="C40" s="112">
        <v>10.5</v>
      </c>
      <c r="D40" s="112">
        <v>10.5</v>
      </c>
      <c r="E40" s="113">
        <v>10.5</v>
      </c>
      <c r="G40" s="162"/>
      <c r="H40" s="134"/>
      <c r="J40" s="162"/>
      <c r="K40" s="134"/>
      <c r="M40" s="162"/>
      <c r="N40" s="134"/>
      <c r="O40" s="74"/>
      <c r="P40" s="74"/>
      <c r="Q40" s="74"/>
      <c r="R40" s="74"/>
      <c r="S40" s="74"/>
      <c r="T40" s="74"/>
      <c r="U40" s="74"/>
      <c r="V40" s="74"/>
      <c r="W40" s="74"/>
      <c r="X40" s="74"/>
      <c r="Y40" s="137"/>
      <c r="Z40" s="138"/>
      <c r="AA40" s="138"/>
      <c r="AB40" s="138"/>
      <c r="AC40" s="134"/>
      <c r="AE40" s="137"/>
      <c r="AF40" s="138"/>
      <c r="AG40" s="138"/>
      <c r="AH40" s="134"/>
      <c r="AI40" s="145"/>
      <c r="AK40" s="72"/>
      <c r="AL40" s="126"/>
      <c r="AT40" s="72"/>
      <c r="AU40" s="68"/>
      <c r="BC40" s="72"/>
      <c r="BD40" s="68"/>
      <c r="BF40" s="72"/>
      <c r="BG40" s="68"/>
      <c r="BL40" s="72"/>
      <c r="BM40" s="68"/>
    </row>
    <row r="41" spans="2:65" ht="7.9" customHeight="1" x14ac:dyDescent="0.35">
      <c r="B41" s="67"/>
      <c r="E41" s="68"/>
      <c r="G41" s="162"/>
      <c r="H41" s="134"/>
      <c r="J41" s="162"/>
      <c r="K41" s="134"/>
      <c r="M41" s="162"/>
      <c r="N41" s="134"/>
      <c r="O41" s="74"/>
      <c r="P41" s="74"/>
      <c r="Q41" s="74"/>
      <c r="R41" s="74"/>
      <c r="S41" s="74"/>
      <c r="T41" s="74"/>
      <c r="U41" s="74"/>
      <c r="V41" s="74"/>
      <c r="W41" s="74"/>
      <c r="X41" s="74"/>
      <c r="Y41" s="137"/>
      <c r="Z41" s="138"/>
      <c r="AA41" s="138"/>
      <c r="AB41" s="138"/>
      <c r="AC41" s="134"/>
      <c r="AE41" s="137"/>
      <c r="AF41" s="138"/>
      <c r="AG41" s="138"/>
      <c r="AH41" s="134"/>
      <c r="AI41" s="144" t="s">
        <v>103</v>
      </c>
      <c r="AK41" s="72"/>
      <c r="AL41" s="126"/>
      <c r="AT41" s="72"/>
      <c r="AU41" s="68"/>
      <c r="BC41" s="72"/>
      <c r="BD41" s="68"/>
      <c r="BF41" s="72"/>
      <c r="BG41" s="68"/>
      <c r="BL41" s="72"/>
      <c r="BM41" s="68"/>
    </row>
    <row r="42" spans="2:65" ht="16.149999999999999" customHeight="1" x14ac:dyDescent="0.35">
      <c r="B42" s="215" t="s">
        <v>28</v>
      </c>
      <c r="C42" s="216"/>
      <c r="D42" s="216"/>
      <c r="E42" s="217"/>
      <c r="F42" s="80"/>
      <c r="G42" s="162"/>
      <c r="H42" s="134"/>
      <c r="J42" s="162"/>
      <c r="K42" s="134"/>
      <c r="M42" s="162"/>
      <c r="N42" s="134"/>
      <c r="O42" s="74"/>
      <c r="P42" s="74"/>
      <c r="Q42" s="74"/>
      <c r="R42" s="74"/>
      <c r="S42" s="74"/>
      <c r="T42" s="74"/>
      <c r="U42" s="74"/>
      <c r="V42" s="74"/>
      <c r="W42" s="74"/>
      <c r="X42" s="74"/>
      <c r="Y42" s="137"/>
      <c r="Z42" s="138"/>
      <c r="AA42" s="138"/>
      <c r="AB42" s="138"/>
      <c r="AC42" s="134"/>
      <c r="AE42" s="137"/>
      <c r="AF42" s="138"/>
      <c r="AG42" s="138"/>
      <c r="AH42" s="134"/>
      <c r="AI42" s="145"/>
      <c r="AK42" s="72"/>
      <c r="AL42" s="68"/>
      <c r="AT42" s="72"/>
      <c r="AU42" s="68"/>
      <c r="BC42" s="72"/>
      <c r="BD42" s="68"/>
      <c r="BF42" s="72"/>
      <c r="BG42" s="68"/>
      <c r="BL42" s="72"/>
      <c r="BM42" s="68"/>
    </row>
    <row r="43" spans="2:65" ht="16.149999999999999" customHeight="1" thickBot="1" x14ac:dyDescent="0.4">
      <c r="B43" s="67">
        <v>1</v>
      </c>
      <c r="C43" s="70">
        <v>1</v>
      </c>
      <c r="D43" s="70">
        <v>1</v>
      </c>
      <c r="E43" s="68">
        <v>1</v>
      </c>
      <c r="G43" s="162"/>
      <c r="H43" s="134"/>
      <c r="J43" s="162"/>
      <c r="K43" s="134"/>
      <c r="M43" s="162"/>
      <c r="N43" s="134"/>
      <c r="O43" s="74"/>
      <c r="P43" s="74"/>
      <c r="Q43" s="74"/>
      <c r="R43" s="74"/>
      <c r="S43" s="74"/>
      <c r="T43" s="74"/>
      <c r="U43" s="74"/>
      <c r="V43" s="74"/>
      <c r="W43" s="74"/>
      <c r="X43" s="74"/>
      <c r="Y43" s="137"/>
      <c r="Z43" s="138"/>
      <c r="AA43" s="138"/>
      <c r="AB43" s="138"/>
      <c r="AC43" s="134"/>
      <c r="AE43" s="137"/>
      <c r="AF43" s="138"/>
      <c r="AG43" s="138"/>
      <c r="AH43" s="134"/>
      <c r="AI43" s="145"/>
      <c r="AK43" s="72"/>
      <c r="AL43" s="68"/>
      <c r="AT43" s="72"/>
      <c r="AU43" s="68"/>
      <c r="BC43" s="73"/>
      <c r="BD43" s="69"/>
      <c r="BF43" s="73"/>
      <c r="BG43" s="69"/>
      <c r="BL43" s="72"/>
      <c r="BM43" s="68"/>
    </row>
    <row r="44" spans="2:65" ht="10.9" customHeight="1" thickBot="1" x14ac:dyDescent="0.4">
      <c r="B44" s="67"/>
      <c r="E44" s="68"/>
      <c r="G44" s="162"/>
      <c r="H44" s="134"/>
      <c r="J44" s="169"/>
      <c r="K44" s="135"/>
      <c r="M44" s="162"/>
      <c r="N44" s="134"/>
      <c r="O44" s="74"/>
      <c r="P44" s="74"/>
      <c r="Q44" s="74"/>
      <c r="R44" s="74"/>
      <c r="S44" s="74"/>
      <c r="T44" s="74"/>
      <c r="U44" s="74"/>
      <c r="V44" s="74"/>
      <c r="W44" s="74"/>
      <c r="X44" s="74"/>
      <c r="Y44" s="137"/>
      <c r="Z44" s="138"/>
      <c r="AA44" s="138"/>
      <c r="AB44" s="138"/>
      <c r="AC44" s="134"/>
      <c r="AE44" s="137"/>
      <c r="AF44" s="138"/>
      <c r="AG44" s="138"/>
      <c r="AH44" s="134"/>
      <c r="AI44" s="145"/>
      <c r="AK44" s="66"/>
      <c r="AL44" s="66"/>
      <c r="AT44" s="66"/>
      <c r="AU44" s="66"/>
      <c r="BL44" s="66"/>
      <c r="BM44" s="66"/>
    </row>
    <row r="45" spans="2:65" ht="15.65" customHeight="1" thickBot="1" x14ac:dyDescent="0.4">
      <c r="B45" s="215" t="s">
        <v>30</v>
      </c>
      <c r="C45" s="216"/>
      <c r="D45" s="216"/>
      <c r="E45" s="217"/>
      <c r="F45" s="80"/>
      <c r="G45" s="79"/>
      <c r="H45" s="142"/>
      <c r="M45" s="169"/>
      <c r="N45" s="135"/>
      <c r="O45" s="74"/>
      <c r="P45" s="74"/>
      <c r="Q45" s="74"/>
      <c r="R45" s="74"/>
      <c r="S45" s="74"/>
      <c r="T45" s="74"/>
      <c r="U45" s="74"/>
      <c r="V45" s="74"/>
      <c r="W45" s="74"/>
      <c r="X45" s="74"/>
      <c r="Y45" s="137"/>
      <c r="Z45" s="138"/>
      <c r="AA45" s="138"/>
      <c r="AB45" s="138"/>
      <c r="AC45" s="134"/>
      <c r="AE45" s="137"/>
      <c r="AF45" s="138"/>
      <c r="AG45" s="138"/>
      <c r="AH45" s="134"/>
      <c r="AI45" s="145"/>
    </row>
    <row r="46" spans="2:65" ht="19.149999999999999" customHeight="1" thickBot="1" x14ac:dyDescent="0.4">
      <c r="B46" s="75">
        <v>1</v>
      </c>
      <c r="C46" s="76">
        <v>1</v>
      </c>
      <c r="D46" s="76">
        <v>1</v>
      </c>
      <c r="E46" s="77">
        <v>1</v>
      </c>
      <c r="G46" s="51"/>
      <c r="H46" s="138"/>
      <c r="O46" s="74"/>
      <c r="P46" s="74"/>
      <c r="Q46" s="74"/>
      <c r="R46" s="74"/>
      <c r="S46" s="74"/>
      <c r="T46" s="74"/>
      <c r="U46" s="74"/>
      <c r="V46" s="74"/>
      <c r="W46" s="74"/>
      <c r="X46" s="74"/>
      <c r="Y46" s="137"/>
      <c r="Z46" s="138"/>
      <c r="AA46" s="138"/>
      <c r="AB46" s="138"/>
      <c r="AC46" s="134"/>
      <c r="AE46" s="137"/>
      <c r="AF46" s="138"/>
      <c r="AG46" s="138"/>
      <c r="AH46" s="134"/>
      <c r="AI46" s="145"/>
    </row>
    <row r="47" spans="2:65" ht="19.899999999999999" customHeight="1" thickBot="1" x14ac:dyDescent="0.4">
      <c r="B47" s="114">
        <f>B46+B43+B40+B37+B34</f>
        <v>24.5</v>
      </c>
      <c r="C47" s="114">
        <f>C46+C43+C40+C37+C34</f>
        <v>24.5</v>
      </c>
      <c r="D47" s="114">
        <f>D46+D43+D40+D37+D34</f>
        <v>24.5</v>
      </c>
      <c r="E47" s="114">
        <f>E46+E43+E40+E37+E34</f>
        <v>24.5</v>
      </c>
      <c r="F47" s="10"/>
      <c r="G47" s="51"/>
      <c r="H47" s="138"/>
      <c r="O47" s="74"/>
      <c r="P47" s="74"/>
      <c r="Q47" s="74"/>
      <c r="R47" s="74"/>
      <c r="S47" s="74"/>
      <c r="T47" s="74"/>
      <c r="U47" s="74"/>
      <c r="V47" s="74"/>
      <c r="W47" s="74"/>
      <c r="X47" s="74"/>
      <c r="Y47" s="137"/>
      <c r="Z47" s="138"/>
      <c r="AA47" s="138"/>
      <c r="AB47" s="138"/>
      <c r="AC47" s="134"/>
      <c r="AE47" s="139"/>
      <c r="AF47" s="140"/>
      <c r="AG47" s="140"/>
      <c r="AH47" s="135"/>
      <c r="AI47" s="145"/>
    </row>
    <row r="48" spans="2:65" ht="12" customHeight="1" thickBot="1" x14ac:dyDescent="0.4">
      <c r="G48" s="51"/>
      <c r="H48" s="138"/>
      <c r="O48" s="74"/>
      <c r="P48" s="74"/>
      <c r="Q48" s="74"/>
      <c r="R48" s="74"/>
      <c r="S48" s="74"/>
      <c r="T48" s="74"/>
      <c r="U48" s="74"/>
      <c r="V48" s="74"/>
      <c r="W48" s="74"/>
      <c r="X48" s="74"/>
      <c r="Y48" s="137"/>
      <c r="Z48" s="138"/>
      <c r="AA48" s="138"/>
      <c r="AB48" s="138"/>
      <c r="AC48" s="134"/>
      <c r="AE48" s="141" t="s">
        <v>33</v>
      </c>
      <c r="AF48" s="142"/>
      <c r="AG48" s="142"/>
      <c r="AH48" s="142"/>
      <c r="AI48" s="143" t="s">
        <v>32</v>
      </c>
    </row>
    <row r="49" spans="2:35" ht="18" customHeight="1" thickBot="1" x14ac:dyDescent="0.4">
      <c r="B49" s="123" t="s">
        <v>31</v>
      </c>
      <c r="C49" s="136"/>
      <c r="D49" s="136"/>
      <c r="E49" s="136"/>
      <c r="F49" s="136"/>
      <c r="G49" s="146">
        <v>23</v>
      </c>
      <c r="H49" s="138"/>
      <c r="O49" s="74"/>
      <c r="P49" s="74"/>
      <c r="Q49" s="74"/>
      <c r="R49" s="74"/>
      <c r="S49" s="74"/>
      <c r="T49" s="74"/>
      <c r="U49" s="74"/>
      <c r="V49" s="74"/>
      <c r="W49" s="74"/>
      <c r="X49" s="74"/>
      <c r="Y49" s="137"/>
      <c r="Z49" s="138"/>
      <c r="AA49" s="138"/>
      <c r="AB49" s="138"/>
      <c r="AC49" s="134"/>
      <c r="AE49" s="137"/>
      <c r="AF49" s="138"/>
      <c r="AG49" s="138"/>
      <c r="AH49" s="138"/>
      <c r="AI49" s="134"/>
    </row>
    <row r="50" spans="2:35" ht="12" customHeight="1" thickBot="1" x14ac:dyDescent="0.4">
      <c r="B50" s="116"/>
      <c r="C50" s="218" t="s">
        <v>93</v>
      </c>
      <c r="D50" s="218"/>
      <c r="E50" s="218"/>
      <c r="F50" s="219"/>
      <c r="G50" s="147"/>
      <c r="H50" s="138"/>
      <c r="M50" s="51"/>
      <c r="N50" s="51"/>
      <c r="P50" s="74"/>
      <c r="Q50" s="74"/>
      <c r="R50" s="51"/>
      <c r="S50" s="51"/>
      <c r="T50" s="51"/>
      <c r="U50" s="51"/>
      <c r="V50" s="51"/>
      <c r="W50" s="51"/>
      <c r="X50" s="51"/>
      <c r="Y50" s="139"/>
      <c r="Z50" s="140"/>
      <c r="AA50" s="140"/>
      <c r="AB50" s="140"/>
      <c r="AC50" s="135"/>
      <c r="AE50" s="137"/>
      <c r="AF50" s="138"/>
      <c r="AG50" s="138"/>
      <c r="AH50" s="138"/>
      <c r="AI50" s="134"/>
    </row>
    <row r="51" spans="2:35" ht="12" customHeight="1" x14ac:dyDescent="0.35">
      <c r="B51" s="67"/>
      <c r="C51" s="164"/>
      <c r="D51" s="164"/>
      <c r="E51" s="164"/>
      <c r="F51" s="165"/>
      <c r="G51" s="147"/>
      <c r="H51" s="138"/>
      <c r="M51" s="51"/>
      <c r="N51" s="51"/>
      <c r="P51" s="51"/>
      <c r="Q51" s="51"/>
      <c r="R51" s="51"/>
      <c r="S51" s="51"/>
      <c r="T51" s="51"/>
      <c r="U51" s="51"/>
      <c r="V51" s="51"/>
      <c r="W51" s="51"/>
      <c r="X51" s="51"/>
      <c r="AA51" s="10"/>
      <c r="AE51" s="137"/>
      <c r="AF51" s="138"/>
      <c r="AG51" s="138"/>
      <c r="AH51" s="138"/>
      <c r="AI51" s="134"/>
    </row>
    <row r="52" spans="2:35" ht="12" customHeight="1" x14ac:dyDescent="0.35">
      <c r="B52" s="67"/>
      <c r="C52" s="164" t="s">
        <v>92</v>
      </c>
      <c r="D52" s="164"/>
      <c r="E52" s="164"/>
      <c r="F52" s="165"/>
      <c r="G52" s="147"/>
      <c r="H52" s="138"/>
      <c r="M52" s="51"/>
      <c r="N52" s="51"/>
      <c r="P52" s="51"/>
      <c r="Q52" s="51"/>
      <c r="R52" s="51"/>
      <c r="S52" s="51"/>
      <c r="T52" s="51"/>
      <c r="U52" s="51"/>
      <c r="V52" s="51"/>
      <c r="W52" s="51"/>
      <c r="X52" s="51"/>
      <c r="AE52" s="137"/>
      <c r="AF52" s="138"/>
      <c r="AG52" s="138"/>
      <c r="AH52" s="138"/>
      <c r="AI52" s="134"/>
    </row>
    <row r="53" spans="2:35" ht="12" customHeight="1" thickBot="1" x14ac:dyDescent="0.4">
      <c r="B53" s="67"/>
      <c r="C53" s="164"/>
      <c r="D53" s="164"/>
      <c r="E53" s="164"/>
      <c r="F53" s="165"/>
      <c r="G53" s="147"/>
      <c r="H53" s="138"/>
      <c r="M53" s="51"/>
      <c r="N53" s="51"/>
      <c r="AE53" s="139"/>
      <c r="AF53" s="140"/>
      <c r="AG53" s="140"/>
      <c r="AH53" s="140"/>
      <c r="AI53" s="135"/>
    </row>
    <row r="54" spans="2:35" ht="12" customHeight="1" x14ac:dyDescent="0.35">
      <c r="B54" s="67"/>
      <c r="C54" s="164" t="s">
        <v>95</v>
      </c>
      <c r="D54" s="164"/>
      <c r="E54" s="164"/>
      <c r="F54" s="165"/>
      <c r="G54" s="147"/>
      <c r="H54" s="138"/>
    </row>
    <row r="55" spans="2:35" ht="12" customHeight="1" x14ac:dyDescent="0.35">
      <c r="B55" s="67"/>
      <c r="C55" s="164"/>
      <c r="D55" s="164"/>
      <c r="E55" s="164"/>
      <c r="F55" s="165"/>
      <c r="G55" s="147"/>
      <c r="H55" s="138"/>
    </row>
    <row r="56" spans="2:35" ht="12" customHeight="1" x14ac:dyDescent="0.35">
      <c r="B56" s="67"/>
      <c r="C56" s="164"/>
      <c r="D56" s="164"/>
      <c r="E56" s="164"/>
      <c r="F56" s="165"/>
      <c r="G56" s="147"/>
      <c r="H56" s="138"/>
    </row>
    <row r="57" spans="2:35" ht="12" customHeight="1" x14ac:dyDescent="0.35">
      <c r="B57" s="67"/>
      <c r="C57" s="164"/>
      <c r="D57" s="164"/>
      <c r="E57" s="164"/>
      <c r="F57" s="165"/>
      <c r="G57" s="147"/>
      <c r="H57" s="138"/>
    </row>
    <row r="58" spans="2:35" ht="12" customHeight="1" x14ac:dyDescent="0.35">
      <c r="B58" s="67"/>
      <c r="C58" s="164" t="s">
        <v>94</v>
      </c>
      <c r="D58" s="164"/>
      <c r="E58" s="164"/>
      <c r="F58" s="165"/>
      <c r="G58" s="147"/>
    </row>
    <row r="59" spans="2:35" ht="12" customHeight="1" x14ac:dyDescent="0.35">
      <c r="B59" s="67"/>
      <c r="C59" s="164"/>
      <c r="D59" s="164"/>
      <c r="E59" s="164"/>
      <c r="F59" s="165"/>
      <c r="G59" s="147"/>
    </row>
    <row r="60" spans="2:35" ht="12" customHeight="1" x14ac:dyDescent="0.35">
      <c r="B60" s="67"/>
      <c r="C60" s="164"/>
      <c r="D60" s="164"/>
      <c r="E60" s="164"/>
      <c r="F60" s="165"/>
      <c r="G60" s="147"/>
    </row>
    <row r="61" spans="2:35" ht="8.5" customHeight="1" x14ac:dyDescent="0.35">
      <c r="B61" s="67"/>
      <c r="C61" s="164" t="s">
        <v>34</v>
      </c>
      <c r="D61" s="164"/>
      <c r="E61" s="164"/>
      <c r="F61" s="165"/>
      <c r="G61" s="147"/>
    </row>
    <row r="62" spans="2:35" ht="12" customHeight="1" x14ac:dyDescent="0.35">
      <c r="B62" s="67"/>
      <c r="C62" s="164"/>
      <c r="D62" s="164"/>
      <c r="E62" s="164"/>
      <c r="F62" s="165"/>
      <c r="G62" s="147"/>
    </row>
    <row r="63" spans="2:35" ht="12" customHeight="1" x14ac:dyDescent="0.35">
      <c r="B63" s="67"/>
      <c r="C63" s="164"/>
      <c r="D63" s="164"/>
      <c r="E63" s="164"/>
      <c r="F63" s="165"/>
      <c r="G63" s="147"/>
    </row>
    <row r="64" spans="2:35" ht="12" customHeight="1" x14ac:dyDescent="0.35">
      <c r="B64" s="67"/>
      <c r="C64" s="164"/>
      <c r="D64" s="164"/>
      <c r="E64" s="164"/>
      <c r="F64" s="165"/>
      <c r="G64" s="147"/>
    </row>
    <row r="65" spans="2:7" ht="12" customHeight="1" x14ac:dyDescent="0.35">
      <c r="B65" s="67"/>
      <c r="C65" s="164" t="s">
        <v>105</v>
      </c>
      <c r="D65" s="164"/>
      <c r="E65" s="164"/>
      <c r="F65" s="165"/>
      <c r="G65" s="147"/>
    </row>
    <row r="66" spans="2:7" ht="12" customHeight="1" x14ac:dyDescent="0.35">
      <c r="B66" s="67"/>
      <c r="C66" s="164"/>
      <c r="D66" s="164"/>
      <c r="E66" s="164"/>
      <c r="F66" s="165"/>
      <c r="G66" s="147"/>
    </row>
    <row r="67" spans="2:7" ht="12" customHeight="1" x14ac:dyDescent="0.35">
      <c r="B67" s="67"/>
      <c r="C67" s="164"/>
      <c r="D67" s="164"/>
      <c r="E67" s="164"/>
      <c r="F67" s="165"/>
      <c r="G67" s="147"/>
    </row>
    <row r="68" spans="2:7" ht="12" customHeight="1" x14ac:dyDescent="0.35">
      <c r="B68" s="67"/>
      <c r="C68" s="164"/>
      <c r="D68" s="164"/>
      <c r="E68" s="164"/>
      <c r="F68" s="165"/>
      <c r="G68" s="147"/>
    </row>
    <row r="69" spans="2:7" ht="12" customHeight="1" x14ac:dyDescent="0.35">
      <c r="B69" s="67"/>
      <c r="C69" s="164" t="s">
        <v>104</v>
      </c>
      <c r="D69" s="164"/>
      <c r="E69" s="164"/>
      <c r="F69" s="165"/>
      <c r="G69" s="147"/>
    </row>
    <row r="70" spans="2:7" ht="12" customHeight="1" x14ac:dyDescent="0.35">
      <c r="B70" s="67"/>
      <c r="C70" s="164"/>
      <c r="D70" s="164"/>
      <c r="E70" s="164"/>
      <c r="F70" s="165"/>
      <c r="G70" s="147"/>
    </row>
    <row r="71" spans="2:7" ht="12" customHeight="1" x14ac:dyDescent="0.35">
      <c r="B71" s="67"/>
      <c r="C71" s="164"/>
      <c r="D71" s="164"/>
      <c r="E71" s="164"/>
      <c r="F71" s="165"/>
      <c r="G71" s="147"/>
    </row>
    <row r="72" spans="2:7" ht="12" customHeight="1" x14ac:dyDescent="0.35">
      <c r="B72" s="67"/>
      <c r="C72" s="164"/>
      <c r="D72" s="164"/>
      <c r="E72" s="164"/>
      <c r="F72" s="165"/>
      <c r="G72" s="147"/>
    </row>
    <row r="73" spans="2:7" ht="12" customHeight="1" x14ac:dyDescent="0.35">
      <c r="B73" s="67"/>
      <c r="C73" s="164" t="s">
        <v>35</v>
      </c>
      <c r="D73" s="164"/>
      <c r="E73" s="164"/>
      <c r="F73" s="165"/>
      <c r="G73" s="147"/>
    </row>
    <row r="74" spans="2:7" ht="12" customHeight="1" x14ac:dyDescent="0.35">
      <c r="B74" s="67"/>
      <c r="C74" s="164"/>
      <c r="D74" s="164"/>
      <c r="E74" s="164"/>
      <c r="F74" s="165"/>
      <c r="G74" s="147"/>
    </row>
    <row r="75" spans="2:7" ht="12" customHeight="1" x14ac:dyDescent="0.35">
      <c r="B75" s="67"/>
      <c r="C75" s="164"/>
      <c r="D75" s="164"/>
      <c r="E75" s="164"/>
      <c r="F75" s="165"/>
      <c r="G75" s="147"/>
    </row>
    <row r="76" spans="2:7" ht="12" customHeight="1" thickBot="1" x14ac:dyDescent="0.4">
      <c r="B76" s="115"/>
      <c r="C76" s="166"/>
      <c r="D76" s="166"/>
      <c r="E76" s="166"/>
      <c r="F76" s="167"/>
      <c r="G76" s="148"/>
    </row>
    <row r="77" spans="2:7" ht="12" customHeight="1" x14ac:dyDescent="0.35"/>
    <row r="78" spans="2:7" ht="12" customHeight="1" x14ac:dyDescent="0.35"/>
    <row r="79" spans="2:7" ht="12" hidden="1" customHeight="1" x14ac:dyDescent="0.35"/>
    <row r="80" spans="2:7" ht="12" hidden="1" customHeight="1" x14ac:dyDescent="0.35"/>
    <row r="81" ht="12" hidden="1" customHeight="1" x14ac:dyDescent="0.35"/>
    <row r="82" ht="12" hidden="1" customHeight="1" x14ac:dyDescent="0.35"/>
    <row r="83" ht="12" hidden="1" customHeight="1" x14ac:dyDescent="0.35"/>
    <row r="84" ht="12" hidden="1" customHeight="1" x14ac:dyDescent="0.35"/>
    <row r="85" ht="12" hidden="1" customHeight="1" x14ac:dyDescent="0.35"/>
    <row r="86" ht="12" hidden="1" customHeight="1" x14ac:dyDescent="0.35"/>
    <row r="87" ht="12" hidden="1" customHeight="1" x14ac:dyDescent="0.35"/>
    <row r="88" ht="12" hidden="1" customHeight="1" x14ac:dyDescent="0.35"/>
    <row r="89" ht="12" hidden="1" customHeight="1" x14ac:dyDescent="0.35"/>
    <row r="90" ht="12" hidden="1" customHeight="1" x14ac:dyDescent="0.35"/>
    <row r="91" ht="12" hidden="1" customHeight="1" x14ac:dyDescent="0.35"/>
    <row r="92" ht="12" hidden="1" customHeight="1" x14ac:dyDescent="0.35"/>
    <row r="93" ht="12" hidden="1" customHeight="1" x14ac:dyDescent="0.35"/>
    <row r="94" ht="12" hidden="1" customHeight="1" x14ac:dyDescent="0.35"/>
    <row r="95" ht="12" hidden="1" customHeight="1" x14ac:dyDescent="0.35"/>
    <row r="96" ht="12" hidden="1" customHeight="1" x14ac:dyDescent="0.35"/>
    <row r="97" ht="12" hidden="1" customHeight="1" x14ac:dyDescent="0.35"/>
    <row r="98" ht="12" hidden="1" customHeight="1" x14ac:dyDescent="0.35"/>
    <row r="99" ht="12" hidden="1" customHeight="1" x14ac:dyDescent="0.35"/>
    <row r="100" ht="12" hidden="1" customHeight="1" x14ac:dyDescent="0.35"/>
    <row r="101" ht="12" hidden="1" customHeight="1" x14ac:dyDescent="0.35"/>
    <row r="102" ht="12" hidden="1" customHeight="1" x14ac:dyDescent="0.35"/>
    <row r="103" ht="12" hidden="1" customHeight="1" x14ac:dyDescent="0.35"/>
    <row r="104" ht="12" hidden="1" customHeight="1" x14ac:dyDescent="0.35"/>
    <row r="105" ht="12" hidden="1" customHeight="1" x14ac:dyDescent="0.35"/>
    <row r="106" ht="12" hidden="1" customHeight="1" x14ac:dyDescent="0.35"/>
    <row r="107" ht="12" hidden="1" customHeight="1" x14ac:dyDescent="0.35"/>
    <row r="108" ht="12" hidden="1" customHeight="1" x14ac:dyDescent="0.35"/>
    <row r="109" ht="12" hidden="1" customHeight="1" x14ac:dyDescent="0.35"/>
    <row r="110" ht="12" hidden="1" customHeight="1" x14ac:dyDescent="0.35"/>
    <row r="111" ht="12" hidden="1" customHeight="1" x14ac:dyDescent="0.35"/>
    <row r="112" ht="12" hidden="1" customHeight="1" x14ac:dyDescent="0.35"/>
    <row r="113" ht="12" hidden="1" customHeight="1" x14ac:dyDescent="0.35"/>
    <row r="114" ht="12" hidden="1" customHeight="1" x14ac:dyDescent="0.35"/>
    <row r="115" ht="12" hidden="1" customHeight="1" x14ac:dyDescent="0.35"/>
    <row r="116" ht="12" hidden="1" customHeight="1" x14ac:dyDescent="0.35"/>
    <row r="117" ht="12" hidden="1" customHeight="1" x14ac:dyDescent="0.35"/>
    <row r="118" ht="12" hidden="1" customHeight="1" x14ac:dyDescent="0.35"/>
    <row r="119" ht="12" hidden="1" customHeight="1" x14ac:dyDescent="0.35"/>
    <row r="120" ht="12" hidden="1" customHeight="1" x14ac:dyDescent="0.35"/>
    <row r="121" ht="12" hidden="1" customHeight="1" x14ac:dyDescent="0.35"/>
    <row r="122" ht="12" hidden="1" customHeight="1" x14ac:dyDescent="0.35"/>
    <row r="123" ht="12" hidden="1" customHeight="1" x14ac:dyDescent="0.35"/>
    <row r="124" ht="12" hidden="1" customHeight="1" x14ac:dyDescent="0.35"/>
    <row r="125" ht="12" hidden="1" customHeight="1" x14ac:dyDescent="0.35"/>
    <row r="126" ht="12" hidden="1" customHeight="1" x14ac:dyDescent="0.35"/>
    <row r="127" ht="12" hidden="1" customHeight="1" x14ac:dyDescent="0.35"/>
    <row r="128" ht="12" hidden="1" customHeight="1" x14ac:dyDescent="0.35"/>
    <row r="129" ht="12" hidden="1" customHeight="1" x14ac:dyDescent="0.35"/>
    <row r="130" ht="12" hidden="1" customHeight="1" x14ac:dyDescent="0.35"/>
    <row r="131" ht="12" hidden="1" customHeight="1" x14ac:dyDescent="0.35"/>
    <row r="132" ht="12" hidden="1" customHeight="1" x14ac:dyDescent="0.35"/>
    <row r="133" ht="12" hidden="1" customHeight="1" x14ac:dyDescent="0.35"/>
    <row r="134" ht="12" hidden="1" customHeight="1" x14ac:dyDescent="0.35"/>
    <row r="135" ht="12" hidden="1" customHeight="1" x14ac:dyDescent="0.35"/>
    <row r="136" ht="12" hidden="1" customHeight="1" x14ac:dyDescent="0.35"/>
    <row r="137" ht="12" hidden="1" customHeight="1" x14ac:dyDescent="0.35"/>
    <row r="138" ht="12" hidden="1" customHeight="1" x14ac:dyDescent="0.35"/>
    <row r="139" ht="12" hidden="1" customHeight="1" x14ac:dyDescent="0.35"/>
    <row r="140" ht="12" hidden="1" customHeight="1" x14ac:dyDescent="0.35"/>
    <row r="141" ht="12" hidden="1" customHeight="1" x14ac:dyDescent="0.35"/>
    <row r="142" ht="12" hidden="1" customHeight="1" x14ac:dyDescent="0.35"/>
    <row r="143" ht="12" hidden="1" customHeight="1" x14ac:dyDescent="0.35"/>
    <row r="144" ht="12" hidden="1" customHeight="1" x14ac:dyDescent="0.35"/>
    <row r="145" ht="12" hidden="1" customHeight="1" x14ac:dyDescent="0.35"/>
    <row r="146" ht="12" hidden="1" customHeight="1" x14ac:dyDescent="0.35"/>
    <row r="147" ht="12" hidden="1" customHeight="1" x14ac:dyDescent="0.35"/>
    <row r="148" ht="12" hidden="1" customHeight="1" x14ac:dyDescent="0.35"/>
    <row r="149" ht="12" hidden="1" customHeight="1" x14ac:dyDescent="0.35"/>
    <row r="150" ht="12" hidden="1" customHeight="1" x14ac:dyDescent="0.35"/>
    <row r="151" ht="12" hidden="1" customHeight="1" x14ac:dyDescent="0.35"/>
    <row r="152" ht="12" hidden="1" customHeight="1" x14ac:dyDescent="0.35"/>
    <row r="153" ht="12" hidden="1" customHeight="1" x14ac:dyDescent="0.35"/>
    <row r="154" ht="12" hidden="1" customHeight="1" x14ac:dyDescent="0.35"/>
    <row r="155" ht="12" hidden="1" customHeight="1" x14ac:dyDescent="0.35"/>
    <row r="156" ht="12" hidden="1" customHeight="1" x14ac:dyDescent="0.35"/>
    <row r="157" ht="12" hidden="1" customHeight="1" x14ac:dyDescent="0.35"/>
    <row r="158" ht="12" hidden="1" customHeight="1" x14ac:dyDescent="0.35"/>
    <row r="159" ht="12" hidden="1" customHeight="1" x14ac:dyDescent="0.35"/>
    <row r="160" ht="12" hidden="1" customHeight="1" x14ac:dyDescent="0.35"/>
    <row r="161" ht="12" hidden="1" customHeight="1" x14ac:dyDescent="0.35"/>
    <row r="162" ht="12" hidden="1" customHeight="1" x14ac:dyDescent="0.35"/>
    <row r="163" ht="12" hidden="1" customHeight="1" x14ac:dyDescent="0.35"/>
    <row r="164" ht="12" hidden="1" customHeight="1" x14ac:dyDescent="0.35"/>
    <row r="165" ht="12" hidden="1" customHeight="1" x14ac:dyDescent="0.35"/>
    <row r="166" ht="12" hidden="1" customHeight="1" x14ac:dyDescent="0.35"/>
    <row r="167" ht="12" hidden="1" customHeight="1" x14ac:dyDescent="0.35"/>
    <row r="168" ht="12" hidden="1" customHeight="1" x14ac:dyDescent="0.35"/>
    <row r="169" ht="12" hidden="1" customHeight="1" x14ac:dyDescent="0.35"/>
    <row r="170" ht="12" hidden="1" customHeight="1" x14ac:dyDescent="0.35"/>
    <row r="171" ht="12" hidden="1" customHeight="1" x14ac:dyDescent="0.35"/>
    <row r="172" ht="12" hidden="1" customHeight="1" x14ac:dyDescent="0.35"/>
    <row r="173" ht="12" hidden="1" customHeight="1" x14ac:dyDescent="0.35"/>
    <row r="174" ht="12" hidden="1" customHeight="1" x14ac:dyDescent="0.35"/>
    <row r="175" ht="12" hidden="1" customHeight="1" x14ac:dyDescent="0.35"/>
    <row r="176" ht="12" hidden="1" customHeight="1" x14ac:dyDescent="0.35"/>
    <row r="177" ht="12" hidden="1" customHeight="1" x14ac:dyDescent="0.35"/>
    <row r="178" ht="12" hidden="1" customHeight="1" x14ac:dyDescent="0.35"/>
    <row r="179" ht="12" hidden="1" customHeight="1" x14ac:dyDescent="0.35"/>
    <row r="180" ht="12" hidden="1" customHeight="1" x14ac:dyDescent="0.35"/>
    <row r="181" ht="12" hidden="1" customHeight="1" x14ac:dyDescent="0.35"/>
    <row r="182" ht="12" hidden="1" customHeight="1" x14ac:dyDescent="0.35"/>
    <row r="183" ht="12" hidden="1" customHeight="1" x14ac:dyDescent="0.35"/>
    <row r="184" ht="12" hidden="1" customHeight="1" x14ac:dyDescent="0.35"/>
    <row r="185" ht="12" hidden="1" customHeight="1" x14ac:dyDescent="0.35"/>
    <row r="186" ht="12" hidden="1" customHeight="1" x14ac:dyDescent="0.35"/>
    <row r="187" ht="12" hidden="1" customHeight="1" x14ac:dyDescent="0.35"/>
    <row r="188" ht="12" hidden="1" customHeight="1" x14ac:dyDescent="0.35"/>
    <row r="189" ht="12" hidden="1" customHeight="1" x14ac:dyDescent="0.35"/>
    <row r="190" ht="12" hidden="1" customHeight="1" x14ac:dyDescent="0.35"/>
    <row r="191" ht="12" hidden="1" customHeight="1" x14ac:dyDescent="0.35"/>
    <row r="192" ht="12" hidden="1" customHeight="1" x14ac:dyDescent="0.35"/>
    <row r="193" ht="12" hidden="1" customHeight="1" x14ac:dyDescent="0.35"/>
    <row r="194" ht="12" hidden="1" customHeight="1" x14ac:dyDescent="0.35"/>
    <row r="195" ht="12" hidden="1" customHeight="1" x14ac:dyDescent="0.35"/>
  </sheetData>
  <mergeCells count="133">
    <mergeCell ref="AT32:AU32"/>
    <mergeCell ref="BL32:BM32"/>
    <mergeCell ref="M32:N32"/>
    <mergeCell ref="BC28:BC30"/>
    <mergeCell ref="BF28:BF30"/>
    <mergeCell ref="BF32:BG32"/>
    <mergeCell ref="B33:E33"/>
    <mergeCell ref="G33:G44"/>
    <mergeCell ref="H33:H44"/>
    <mergeCell ref="B32:E32"/>
    <mergeCell ref="G32:H32"/>
    <mergeCell ref="AK32:AL32"/>
    <mergeCell ref="B36:E36"/>
    <mergeCell ref="AL38:AL41"/>
    <mergeCell ref="B39:E39"/>
    <mergeCell ref="B42:E42"/>
    <mergeCell ref="BM33:BM36"/>
    <mergeCell ref="M33:M45"/>
    <mergeCell ref="N33:N45"/>
    <mergeCell ref="BG33:BG39"/>
    <mergeCell ref="AL33:AL36"/>
    <mergeCell ref="AU33:AU35"/>
    <mergeCell ref="A23:A24"/>
    <mergeCell ref="A19:A20"/>
    <mergeCell ref="BL19:BL30"/>
    <mergeCell ref="AK20:AK22"/>
    <mergeCell ref="AN20:AN22"/>
    <mergeCell ref="AQ20:AQ21"/>
    <mergeCell ref="AT20:AT22"/>
    <mergeCell ref="AW20:AW22"/>
    <mergeCell ref="BM18:BN18"/>
    <mergeCell ref="AK18:AL18"/>
    <mergeCell ref="AN18:AO18"/>
    <mergeCell ref="AQ18:AR18"/>
    <mergeCell ref="AT18:AU18"/>
    <mergeCell ref="AW18:AX18"/>
    <mergeCell ref="AZ18:BA18"/>
    <mergeCell ref="B26:E26"/>
    <mergeCell ref="AZ20:AZ22"/>
    <mergeCell ref="B22:E22"/>
    <mergeCell ref="AK28:AK30"/>
    <mergeCell ref="B30:E30"/>
    <mergeCell ref="BM28:BM30"/>
    <mergeCell ref="A27:A28"/>
    <mergeCell ref="AQ27:AR27"/>
    <mergeCell ref="BM16:BN16"/>
    <mergeCell ref="BM17:BN17"/>
    <mergeCell ref="AK16:AL16"/>
    <mergeCell ref="AN16:AO16"/>
    <mergeCell ref="AQ16:AR16"/>
    <mergeCell ref="AT16:AU17"/>
    <mergeCell ref="AW16:AX17"/>
    <mergeCell ref="AZ16:BA17"/>
    <mergeCell ref="B18:E18"/>
    <mergeCell ref="G18:H18"/>
    <mergeCell ref="M18:N18"/>
    <mergeCell ref="P18:Q18"/>
    <mergeCell ref="B16:E16"/>
    <mergeCell ref="G16:H16"/>
    <mergeCell ref="M16:N16"/>
    <mergeCell ref="P16:Q16"/>
    <mergeCell ref="V16:W16"/>
    <mergeCell ref="V18:W18"/>
    <mergeCell ref="BL2:BO3"/>
    <mergeCell ref="AC4:AE4"/>
    <mergeCell ref="BP4:BP6"/>
    <mergeCell ref="BL14:BL15"/>
    <mergeCell ref="BM14:BN15"/>
    <mergeCell ref="B14:E15"/>
    <mergeCell ref="AK14:AO15"/>
    <mergeCell ref="AQ14:AR15"/>
    <mergeCell ref="G10:W11"/>
    <mergeCell ref="P14:W15"/>
    <mergeCell ref="G14:N15"/>
    <mergeCell ref="Y14:AC15"/>
    <mergeCell ref="AT14:BA15"/>
    <mergeCell ref="BC14:BJ15"/>
    <mergeCell ref="C73:F76"/>
    <mergeCell ref="C61:F64"/>
    <mergeCell ref="C58:F60"/>
    <mergeCell ref="J16:K16"/>
    <mergeCell ref="J18:K18"/>
    <mergeCell ref="J32:K32"/>
    <mergeCell ref="J33:J44"/>
    <mergeCell ref="K33:K44"/>
    <mergeCell ref="J20:J21"/>
    <mergeCell ref="J24:J25"/>
    <mergeCell ref="C65:F68"/>
    <mergeCell ref="C69:F72"/>
    <mergeCell ref="C54:F57"/>
    <mergeCell ref="B45:E45"/>
    <mergeCell ref="H45:H57"/>
    <mergeCell ref="B49:F49"/>
    <mergeCell ref="C50:F51"/>
    <mergeCell ref="C52:F53"/>
    <mergeCell ref="S18:T18"/>
    <mergeCell ref="AE14:AI15"/>
    <mergeCell ref="AH16:AI16"/>
    <mergeCell ref="AH18:AI18"/>
    <mergeCell ref="AI48:AI53"/>
    <mergeCell ref="AH28:AH29"/>
    <mergeCell ref="Y10:AI11"/>
    <mergeCell ref="S16:T16"/>
    <mergeCell ref="Y16:Z16"/>
    <mergeCell ref="AB16:AC16"/>
    <mergeCell ref="Y18:Z18"/>
    <mergeCell ref="AB18:AC18"/>
    <mergeCell ref="AE18:AF18"/>
    <mergeCell ref="AE16:AF16"/>
    <mergeCell ref="AK10:BA11"/>
    <mergeCell ref="BC10:BP11"/>
    <mergeCell ref="BC32:BD32"/>
    <mergeCell ref="BD33:BD36"/>
    <mergeCell ref="AC5:BB6"/>
    <mergeCell ref="A3:N6"/>
    <mergeCell ref="AC33:AC50"/>
    <mergeCell ref="Y32:AC32"/>
    <mergeCell ref="Y33:AB50"/>
    <mergeCell ref="AE32:AI32"/>
    <mergeCell ref="AE48:AH53"/>
    <mergeCell ref="AE33:AH47"/>
    <mergeCell ref="AI33:AI40"/>
    <mergeCell ref="AI41:AI47"/>
    <mergeCell ref="G49:G76"/>
    <mergeCell ref="BC16:BD17"/>
    <mergeCell ref="BF16:BG16"/>
    <mergeCell ref="BI16:BJ16"/>
    <mergeCell ref="BC18:BD18"/>
    <mergeCell ref="BF18:BG18"/>
    <mergeCell ref="BI18:BJ18"/>
    <mergeCell ref="BC20:BC21"/>
    <mergeCell ref="BF20:BF21"/>
    <mergeCell ref="BC24:BC25"/>
  </mergeCells>
  <pageMargins left="0.23622047244094491" right="0.23622047244094491" top="0.74803149606299213" bottom="0.74803149606299213" header="0.31496062992125984" footer="0.31496062992125984"/>
  <pageSetup paperSize="8" scale="2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D3E54-DC84-4FE0-A05E-0C7F9F1BF771}">
  <sheetPr>
    <tabColor rgb="FFC00000"/>
    <pageSetUpPr fitToPage="1"/>
  </sheetPr>
  <dimension ref="A1:GN195"/>
  <sheetViews>
    <sheetView showGridLines="0" zoomScale="80" zoomScaleNormal="80" workbookViewId="0">
      <selection activeCell="P28" sqref="P28"/>
    </sheetView>
  </sheetViews>
  <sheetFormatPr defaultColWidth="0" defaultRowHeight="41.5" customHeight="1" zeroHeight="1" x14ac:dyDescent="0.35"/>
  <cols>
    <col min="1" max="1" width="6" style="1" customWidth="1"/>
    <col min="2" max="2" width="17.81640625" style="1" customWidth="1"/>
    <col min="3" max="4" width="16.1796875" style="1" customWidth="1"/>
    <col min="5" max="5" width="15.7265625" style="1" customWidth="1"/>
    <col min="6" max="6" width="1.453125" style="1" customWidth="1"/>
    <col min="7" max="7" width="18.81640625" style="1" customWidth="1"/>
    <col min="8" max="8" width="9.54296875" style="1" customWidth="1"/>
    <col min="9" max="9" width="1.26953125" style="1" customWidth="1"/>
    <col min="10" max="10" width="18.81640625" style="1" customWidth="1"/>
    <col min="11" max="11" width="9.54296875" style="1" customWidth="1"/>
    <col min="12" max="12" width="1.26953125" style="1" customWidth="1"/>
    <col min="13" max="13" width="18.81640625" style="1" customWidth="1"/>
    <col min="14" max="14" width="9.54296875" style="1" customWidth="1"/>
    <col min="15" max="15" width="1.26953125" style="3" customWidth="1"/>
    <col min="16" max="16" width="18.81640625" style="3" customWidth="1"/>
    <col min="17" max="17" width="9.54296875" style="1" customWidth="1"/>
    <col min="18" max="18" width="1.26953125" style="1" customWidth="1"/>
    <col min="19" max="19" width="18.81640625" style="1" customWidth="1"/>
    <col min="20" max="20" width="9.54296875" style="1" customWidth="1"/>
    <col min="21" max="21" width="1.26953125" style="1" customWidth="1"/>
    <col min="22" max="22" width="18.81640625" style="1" customWidth="1"/>
    <col min="23" max="23" width="9.54296875" style="1" customWidth="1"/>
    <col min="24" max="24" width="4.1796875" style="1" customWidth="1"/>
    <col min="25" max="25" width="18.81640625" style="1" customWidth="1"/>
    <col min="26" max="26" width="9.54296875" style="1" customWidth="1"/>
    <col min="27" max="27" width="1.26953125" style="1" customWidth="1"/>
    <col min="28" max="28" width="18.81640625" style="1" customWidth="1"/>
    <col min="29" max="29" width="9.54296875" style="1" customWidth="1"/>
    <col min="30" max="30" width="1.26953125" style="1" customWidth="1"/>
    <col min="31" max="31" width="18.81640625" style="1" customWidth="1"/>
    <col min="32" max="32" width="9.54296875" style="1" customWidth="1"/>
    <col min="33" max="33" width="1.26953125" style="1" customWidth="1"/>
    <col min="34" max="34" width="18.81640625" style="1" customWidth="1"/>
    <col min="35" max="35" width="9.54296875" style="1" customWidth="1"/>
    <col min="36" max="36" width="4.1796875" style="1" customWidth="1"/>
    <col min="37" max="37" width="18.81640625" style="1" customWidth="1"/>
    <col min="38" max="38" width="9.54296875" style="1" customWidth="1"/>
    <col min="39" max="39" width="2.26953125" style="1" customWidth="1"/>
    <col min="40" max="40" width="18.81640625" style="1" customWidth="1"/>
    <col min="41" max="41" width="9.54296875" style="1" customWidth="1"/>
    <col min="42" max="42" width="2.26953125" style="1" customWidth="1"/>
    <col min="43" max="43" width="8.54296875" style="1" customWidth="1"/>
    <col min="44" max="44" width="11.1796875" style="1" customWidth="1"/>
    <col min="45" max="45" width="2.26953125" style="1" customWidth="1"/>
    <col min="46" max="46" width="18.81640625" style="1" customWidth="1"/>
    <col min="47" max="47" width="9.54296875" style="1" customWidth="1"/>
    <col min="48" max="48" width="2.26953125" style="1" customWidth="1"/>
    <col min="49" max="49" width="18.81640625" style="1" customWidth="1"/>
    <col min="50" max="50" width="9.54296875" style="1" customWidth="1"/>
    <col min="51" max="51" width="2.26953125" style="1" customWidth="1"/>
    <col min="52" max="52" width="18.81640625" style="1" customWidth="1"/>
    <col min="53" max="53" width="9.54296875" style="1" customWidth="1"/>
    <col min="54" max="54" width="4.1796875" style="1" customWidth="1"/>
    <col min="55" max="55" width="18.81640625" style="1" customWidth="1"/>
    <col min="56" max="56" width="9.54296875" style="1" customWidth="1"/>
    <col min="57" max="57" width="1.26953125" style="1" customWidth="1"/>
    <col min="58" max="58" width="18.81640625" style="1" customWidth="1"/>
    <col min="59" max="59" width="9.54296875" style="1" customWidth="1"/>
    <col min="60" max="60" width="1.26953125" style="1" customWidth="1"/>
    <col min="61" max="61" width="18.81640625" style="1" customWidth="1"/>
    <col min="62" max="62" width="9.54296875" style="1" customWidth="1"/>
    <col min="63" max="63" width="1.26953125" style="1" customWidth="1"/>
    <col min="64" max="64" width="24.54296875" style="1" customWidth="1"/>
    <col min="65" max="65" width="13.453125" style="1" customWidth="1"/>
    <col min="66" max="66" width="9.54296875" style="1" customWidth="1"/>
    <col min="67" max="67" width="2.453125" style="1" customWidth="1"/>
    <col min="68" max="68" width="2.1796875" style="1" customWidth="1"/>
    <col min="69" max="69" width="2.54296875" style="1" customWidth="1"/>
    <col min="70" max="196" width="0" style="1" hidden="1" customWidth="1"/>
    <col min="197" max="16384" width="9.1796875" style="1" hidden="1"/>
  </cols>
  <sheetData>
    <row r="1" spans="1:69" ht="3.75" customHeight="1" x14ac:dyDescent="0.35"/>
    <row r="2" spans="1:69" ht="14.5" hidden="1" x14ac:dyDescent="0.35">
      <c r="BC2" s="85"/>
      <c r="BD2" s="85"/>
      <c r="BE2" s="85"/>
      <c r="BF2" s="85"/>
      <c r="BG2" s="85"/>
      <c r="BH2" s="85"/>
      <c r="BI2" s="85"/>
      <c r="BJ2" s="85"/>
      <c r="BK2" s="85"/>
      <c r="BL2" s="151"/>
      <c r="BM2" s="151"/>
      <c r="BN2" s="151"/>
      <c r="BO2" s="151"/>
    </row>
    <row r="3" spans="1:69" ht="15" customHeight="1" x14ac:dyDescent="0.35">
      <c r="A3" s="133" t="s">
        <v>91</v>
      </c>
      <c r="B3" s="133"/>
      <c r="C3" s="133"/>
      <c r="D3" s="133"/>
      <c r="E3" s="133"/>
      <c r="F3" s="133"/>
      <c r="G3" s="133"/>
      <c r="H3" s="133"/>
      <c r="I3" s="133"/>
      <c r="J3" s="133"/>
      <c r="K3" s="133"/>
      <c r="L3" s="133"/>
      <c r="M3" s="133"/>
      <c r="N3" s="133"/>
      <c r="O3" s="36"/>
      <c r="P3" s="36"/>
      <c r="BB3" s="2"/>
      <c r="BC3" s="85"/>
      <c r="BD3" s="85"/>
      <c r="BE3" s="85"/>
      <c r="BF3" s="85"/>
      <c r="BG3" s="85"/>
      <c r="BH3" s="85"/>
      <c r="BI3" s="85"/>
      <c r="BJ3" s="85"/>
      <c r="BK3" s="85"/>
      <c r="BL3" s="151"/>
      <c r="BM3" s="151"/>
      <c r="BN3" s="151"/>
      <c r="BO3" s="151"/>
    </row>
    <row r="4" spans="1:69" ht="28.5" customHeight="1" thickBot="1" x14ac:dyDescent="0.4">
      <c r="A4" s="133"/>
      <c r="B4" s="133"/>
      <c r="C4" s="133"/>
      <c r="D4" s="133"/>
      <c r="E4" s="133"/>
      <c r="F4" s="133"/>
      <c r="G4" s="133"/>
      <c r="H4" s="133"/>
      <c r="I4" s="133"/>
      <c r="J4" s="133"/>
      <c r="K4" s="133"/>
      <c r="L4" s="133"/>
      <c r="M4" s="133"/>
      <c r="N4" s="133"/>
      <c r="O4" s="36"/>
      <c r="P4" s="36"/>
      <c r="AC4" s="170">
        <f>G9+AK9+BC9+Y9</f>
        <v>195</v>
      </c>
      <c r="AD4" s="170"/>
      <c r="AE4" s="170"/>
      <c r="AO4" s="83"/>
      <c r="AP4" s="83"/>
      <c r="AQ4" s="83"/>
      <c r="AZ4" s="81"/>
      <c r="BP4" s="171"/>
    </row>
    <row r="5" spans="1:69" ht="23.25" customHeight="1" x14ac:dyDescent="0.35">
      <c r="A5" s="133"/>
      <c r="B5" s="133"/>
      <c r="C5" s="133"/>
      <c r="D5" s="133"/>
      <c r="E5" s="133"/>
      <c r="F5" s="133"/>
      <c r="G5" s="133"/>
      <c r="H5" s="133"/>
      <c r="I5" s="133"/>
      <c r="J5" s="133"/>
      <c r="K5" s="133"/>
      <c r="L5" s="133"/>
      <c r="M5" s="133"/>
      <c r="N5" s="133"/>
      <c r="O5" s="36"/>
      <c r="P5" s="36"/>
      <c r="Q5" s="82"/>
      <c r="R5" s="82"/>
      <c r="S5" s="82"/>
      <c r="T5" s="82"/>
      <c r="U5" s="82"/>
      <c r="V5" s="82"/>
      <c r="W5" s="82"/>
      <c r="X5" s="82"/>
      <c r="Y5" s="82"/>
      <c r="Z5" s="82"/>
      <c r="AA5" s="82"/>
      <c r="AB5" s="82"/>
      <c r="AC5" s="127" t="s">
        <v>76</v>
      </c>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9"/>
      <c r="BP5" s="171"/>
    </row>
    <row r="6" spans="1:69" ht="25" customHeight="1" thickBot="1" x14ac:dyDescent="0.4">
      <c r="A6" s="133"/>
      <c r="B6" s="133"/>
      <c r="C6" s="133"/>
      <c r="D6" s="133"/>
      <c r="E6" s="133"/>
      <c r="F6" s="133"/>
      <c r="G6" s="133"/>
      <c r="H6" s="133"/>
      <c r="I6" s="133"/>
      <c r="J6" s="133"/>
      <c r="K6" s="133"/>
      <c r="L6" s="133"/>
      <c r="M6" s="133"/>
      <c r="N6" s="133"/>
      <c r="O6" s="36"/>
      <c r="P6" s="36"/>
      <c r="Q6" s="82"/>
      <c r="R6" s="82"/>
      <c r="S6" s="82"/>
      <c r="T6" s="82"/>
      <c r="U6" s="82"/>
      <c r="V6" s="82"/>
      <c r="W6" s="82"/>
      <c r="X6" s="82"/>
      <c r="Y6" s="82"/>
      <c r="Z6" s="82"/>
      <c r="AA6" s="82"/>
      <c r="AB6" s="82"/>
      <c r="AC6" s="130"/>
      <c r="AD6" s="131"/>
      <c r="AE6" s="131"/>
      <c r="AF6" s="131"/>
      <c r="AG6" s="131"/>
      <c r="AH6" s="131"/>
      <c r="AI6" s="131"/>
      <c r="AJ6" s="131"/>
      <c r="AK6" s="131"/>
      <c r="AL6" s="131"/>
      <c r="AM6" s="131"/>
      <c r="AN6" s="131"/>
      <c r="AO6" s="131"/>
      <c r="AP6" s="131"/>
      <c r="AQ6" s="131"/>
      <c r="AR6" s="131"/>
      <c r="AS6" s="131"/>
      <c r="AT6" s="131"/>
      <c r="AU6" s="131"/>
      <c r="AV6" s="131"/>
      <c r="AW6" s="131"/>
      <c r="AX6" s="131"/>
      <c r="AY6" s="131"/>
      <c r="AZ6" s="131"/>
      <c r="BA6" s="131"/>
      <c r="BB6" s="132"/>
      <c r="BP6" s="171"/>
    </row>
    <row r="7" spans="1:69" ht="25" customHeight="1" x14ac:dyDescent="0.35">
      <c r="AO7" s="105"/>
      <c r="AU7" s="8"/>
      <c r="AV7" s="8"/>
      <c r="AW7" s="104"/>
      <c r="AX7" s="8"/>
      <c r="AY7" s="8"/>
      <c r="AZ7" s="8"/>
      <c r="BA7" s="8"/>
      <c r="BB7" s="8"/>
    </row>
    <row r="8" spans="1:69" ht="25" customHeight="1" x14ac:dyDescent="0.35">
      <c r="W8" s="9"/>
      <c r="X8" s="9"/>
      <c r="Y8" s="9"/>
      <c r="Z8" s="9"/>
      <c r="AL8" s="9"/>
      <c r="AM8" s="9"/>
      <c r="AO8" s="92"/>
      <c r="AT8" s="9"/>
      <c r="AW8" s="9"/>
    </row>
    <row r="9" spans="1:69" ht="25" customHeight="1" thickBot="1" x14ac:dyDescent="0.4">
      <c r="F9" s="10"/>
      <c r="G9" s="88">
        <f>1+1+B13+G13+P13</f>
        <v>74</v>
      </c>
      <c r="P9" s="7"/>
      <c r="Q9" s="16"/>
      <c r="R9" s="16"/>
      <c r="S9" s="16"/>
      <c r="T9" s="16"/>
      <c r="U9" s="16"/>
      <c r="V9" s="16"/>
      <c r="X9" s="50"/>
      <c r="Y9" s="88">
        <f>1+Y13+AE13</f>
        <v>29</v>
      </c>
      <c r="AA9" s="16"/>
      <c r="AB9" s="16"/>
      <c r="AC9" s="16"/>
      <c r="AD9" s="16"/>
      <c r="AE9" s="102"/>
      <c r="AF9" s="16"/>
      <c r="AG9" s="16"/>
      <c r="AH9" s="16"/>
      <c r="AI9" s="16"/>
      <c r="AJ9" s="16"/>
      <c r="AK9" s="15">
        <f>1+$AK$13+$AQ$13+$AT$13</f>
        <v>41</v>
      </c>
      <c r="AM9" s="16"/>
      <c r="AN9" s="16"/>
      <c r="AO9" s="16"/>
      <c r="AP9" s="16"/>
      <c r="AQ9" s="16"/>
      <c r="AR9" s="16"/>
      <c r="AS9" s="16"/>
      <c r="AT9" s="16"/>
      <c r="AU9" s="16"/>
      <c r="AV9" s="16"/>
      <c r="AW9" s="91"/>
      <c r="AX9" s="16"/>
      <c r="AY9" s="16"/>
      <c r="AZ9" s="16"/>
      <c r="BA9" s="47">
        <v>1</v>
      </c>
      <c r="BB9" s="16"/>
      <c r="BC9" s="15">
        <f>1+$BL$13+$BC$13</f>
        <v>51</v>
      </c>
      <c r="BD9" s="13"/>
      <c r="BE9" s="13"/>
      <c r="BF9" s="13"/>
      <c r="BG9" s="13"/>
      <c r="BH9" s="13"/>
      <c r="BI9" s="17"/>
      <c r="BJ9" s="12"/>
      <c r="BK9" s="12"/>
      <c r="BL9" s="12"/>
    </row>
    <row r="10" spans="1:69" ht="25" customHeight="1" x14ac:dyDescent="0.35">
      <c r="E10" s="35"/>
      <c r="F10" s="35"/>
      <c r="G10" s="117" t="s">
        <v>54</v>
      </c>
      <c r="H10" s="118"/>
      <c r="I10" s="118"/>
      <c r="J10" s="118"/>
      <c r="K10" s="118"/>
      <c r="L10" s="118"/>
      <c r="M10" s="118"/>
      <c r="N10" s="118"/>
      <c r="O10" s="118"/>
      <c r="P10" s="118"/>
      <c r="Q10" s="118"/>
      <c r="R10" s="118"/>
      <c r="S10" s="118"/>
      <c r="T10" s="118"/>
      <c r="U10" s="118"/>
      <c r="V10" s="118"/>
      <c r="W10" s="119"/>
      <c r="X10" s="50"/>
      <c r="Y10" s="117" t="s">
        <v>90</v>
      </c>
      <c r="Z10" s="118"/>
      <c r="AA10" s="118"/>
      <c r="AB10" s="118"/>
      <c r="AC10" s="118"/>
      <c r="AD10" s="118"/>
      <c r="AE10" s="118"/>
      <c r="AF10" s="118"/>
      <c r="AG10" s="118"/>
      <c r="AH10" s="118"/>
      <c r="AI10" s="119"/>
      <c r="AK10" s="117" t="s">
        <v>78</v>
      </c>
      <c r="AL10" s="118"/>
      <c r="AM10" s="118"/>
      <c r="AN10" s="118"/>
      <c r="AO10" s="118"/>
      <c r="AP10" s="118"/>
      <c r="AQ10" s="118"/>
      <c r="AR10" s="118"/>
      <c r="AS10" s="118"/>
      <c r="AT10" s="118"/>
      <c r="AU10" s="118"/>
      <c r="AV10" s="118"/>
      <c r="AW10" s="118"/>
      <c r="AX10" s="118"/>
      <c r="AY10" s="118"/>
      <c r="AZ10" s="118"/>
      <c r="BA10" s="119"/>
      <c r="BB10" s="35"/>
      <c r="BC10" s="117" t="s">
        <v>88</v>
      </c>
      <c r="BD10" s="118"/>
      <c r="BE10" s="118"/>
      <c r="BF10" s="118"/>
      <c r="BG10" s="118"/>
      <c r="BH10" s="118"/>
      <c r="BI10" s="118"/>
      <c r="BJ10" s="118"/>
      <c r="BK10" s="118"/>
      <c r="BL10" s="118"/>
      <c r="BM10" s="118"/>
      <c r="BN10" s="118"/>
      <c r="BO10" s="118"/>
      <c r="BP10" s="119"/>
    </row>
    <row r="11" spans="1:69" ht="25" customHeight="1" thickBot="1" x14ac:dyDescent="0.4">
      <c r="E11" s="35"/>
      <c r="F11" s="35"/>
      <c r="G11" s="120"/>
      <c r="H11" s="121"/>
      <c r="I11" s="121"/>
      <c r="J11" s="121"/>
      <c r="K11" s="121"/>
      <c r="L11" s="121"/>
      <c r="M11" s="121"/>
      <c r="N11" s="121"/>
      <c r="O11" s="121"/>
      <c r="P11" s="121"/>
      <c r="Q11" s="121"/>
      <c r="R11" s="121"/>
      <c r="S11" s="121"/>
      <c r="T11" s="121"/>
      <c r="U11" s="121"/>
      <c r="V11" s="121"/>
      <c r="W11" s="122"/>
      <c r="X11" s="50"/>
      <c r="Y11" s="120"/>
      <c r="Z11" s="121"/>
      <c r="AA11" s="121"/>
      <c r="AB11" s="121"/>
      <c r="AC11" s="121"/>
      <c r="AD11" s="121"/>
      <c r="AE11" s="121"/>
      <c r="AF11" s="121"/>
      <c r="AG11" s="121"/>
      <c r="AH11" s="121"/>
      <c r="AI11" s="122"/>
      <c r="AK11" s="120"/>
      <c r="AL11" s="121"/>
      <c r="AM11" s="121"/>
      <c r="AN11" s="121"/>
      <c r="AO11" s="121"/>
      <c r="AP11" s="121"/>
      <c r="AQ11" s="121"/>
      <c r="AR11" s="121"/>
      <c r="AS11" s="121"/>
      <c r="AT11" s="121"/>
      <c r="AU11" s="121"/>
      <c r="AV11" s="121"/>
      <c r="AW11" s="121"/>
      <c r="AX11" s="121"/>
      <c r="AY11" s="121"/>
      <c r="AZ11" s="121"/>
      <c r="BA11" s="122"/>
      <c r="BB11" s="35"/>
      <c r="BC11" s="120"/>
      <c r="BD11" s="121"/>
      <c r="BE11" s="121"/>
      <c r="BF11" s="121"/>
      <c r="BG11" s="121"/>
      <c r="BH11" s="121"/>
      <c r="BI11" s="121"/>
      <c r="BJ11" s="121"/>
      <c r="BK11" s="121"/>
      <c r="BL11" s="121"/>
      <c r="BM11" s="121"/>
      <c r="BN11" s="121"/>
      <c r="BO11" s="121"/>
      <c r="BP11" s="122"/>
    </row>
    <row r="12" spans="1:69" ht="25" customHeight="1" x14ac:dyDescent="0.35">
      <c r="D12" s="9"/>
      <c r="E12" s="9"/>
      <c r="F12" s="9"/>
      <c r="G12" s="9"/>
      <c r="H12" s="9"/>
      <c r="I12" s="9"/>
      <c r="J12" s="9"/>
      <c r="K12" s="9"/>
      <c r="L12" s="9"/>
      <c r="M12" s="9"/>
      <c r="P12" s="4"/>
      <c r="X12" s="50"/>
      <c r="AM12" s="9"/>
      <c r="AN12" s="9"/>
      <c r="AO12" s="9"/>
      <c r="AP12" s="9"/>
      <c r="AQ12" s="9"/>
      <c r="AR12" s="9"/>
      <c r="AS12" s="9"/>
      <c r="AT12" s="11"/>
      <c r="AU12" s="9"/>
      <c r="AV12" s="9"/>
      <c r="AW12" s="9"/>
      <c r="BC12" s="103"/>
      <c r="BD12" s="103"/>
      <c r="BE12" s="103"/>
      <c r="BF12" s="103"/>
      <c r="BG12" s="103"/>
      <c r="BH12" s="103"/>
      <c r="BI12" s="103"/>
      <c r="BJ12" s="103"/>
      <c r="BK12" s="103"/>
    </row>
    <row r="13" spans="1:69" s="85" customFormat="1" ht="21" customHeight="1" thickBot="1" x14ac:dyDescent="0.4">
      <c r="B13" s="46">
        <f>B18+3</f>
        <v>33</v>
      </c>
      <c r="C13" s="19"/>
      <c r="D13" s="46"/>
      <c r="E13" s="93"/>
      <c r="F13" s="93"/>
      <c r="G13" s="46">
        <f>6+M18+G18+J18</f>
        <v>28</v>
      </c>
      <c r="H13" s="94"/>
      <c r="I13" s="93"/>
      <c r="J13" s="95"/>
      <c r="K13" s="93"/>
      <c r="L13" s="93"/>
      <c r="M13" s="46"/>
      <c r="N13" s="94"/>
      <c r="O13" s="96"/>
      <c r="P13" s="46">
        <f>1+$P$18+$V$18+$S$18</f>
        <v>11</v>
      </c>
      <c r="Q13" s="94"/>
      <c r="R13" s="94"/>
      <c r="S13" s="95"/>
      <c r="T13" s="93"/>
      <c r="U13" s="93"/>
      <c r="V13" s="93"/>
      <c r="W13" s="93"/>
      <c r="X13" s="50"/>
      <c r="Y13" s="46">
        <f>3+$Y$18+$AB$18</f>
        <v>12</v>
      </c>
      <c r="Z13" s="93"/>
      <c r="AA13" s="93"/>
      <c r="AB13" s="93"/>
      <c r="AC13" s="93"/>
      <c r="AE13" s="46">
        <f>1+$AE$18+$AH$18</f>
        <v>16</v>
      </c>
      <c r="AF13" s="93"/>
      <c r="AG13" s="93"/>
      <c r="AH13" s="93"/>
      <c r="AI13" s="93"/>
      <c r="AK13" s="46">
        <f>2+AK18+AN18</f>
        <v>15</v>
      </c>
      <c r="AL13" s="98"/>
      <c r="AQ13" s="19">
        <v>0</v>
      </c>
      <c r="AT13" s="46">
        <f>1+AT18+AW18+AZ18</f>
        <v>25</v>
      </c>
      <c r="AU13" s="97"/>
      <c r="AV13" s="97"/>
      <c r="AW13" s="99"/>
      <c r="AX13" s="100"/>
      <c r="AY13" s="101"/>
      <c r="AZ13" s="20"/>
      <c r="BB13" s="103"/>
      <c r="BC13" s="46">
        <f>BF18+BC18+BI18</f>
        <v>28</v>
      </c>
      <c r="BD13" s="103"/>
      <c r="BE13" s="103"/>
      <c r="BF13" s="103"/>
      <c r="BG13" s="103"/>
      <c r="BH13" s="103"/>
      <c r="BI13" s="103"/>
      <c r="BJ13" s="103"/>
      <c r="BK13" s="103"/>
      <c r="BL13" s="46">
        <f>BL18+BM18</f>
        <v>22</v>
      </c>
      <c r="BM13" s="1"/>
      <c r="BN13" s="1"/>
      <c r="BO13" s="1"/>
      <c r="BP13" s="1"/>
      <c r="BQ13" s="1"/>
    </row>
    <row r="14" spans="1:69" s="2" customFormat="1" ht="20.149999999999999" customHeight="1" x14ac:dyDescent="0.35">
      <c r="B14" s="155" t="s">
        <v>53</v>
      </c>
      <c r="C14" s="156"/>
      <c r="D14" s="156"/>
      <c r="E14" s="157"/>
      <c r="G14" s="184"/>
      <c r="H14" s="185"/>
      <c r="I14" s="185"/>
      <c r="J14" s="185"/>
      <c r="K14" s="185"/>
      <c r="L14" s="185"/>
      <c r="M14" s="185"/>
      <c r="N14" s="186"/>
      <c r="O14" s="89"/>
      <c r="P14" s="184" t="s">
        <v>63</v>
      </c>
      <c r="Q14" s="185"/>
      <c r="R14" s="185"/>
      <c r="S14" s="185"/>
      <c r="T14" s="185"/>
      <c r="U14" s="185"/>
      <c r="V14" s="185"/>
      <c r="W14" s="186"/>
      <c r="X14" s="50"/>
      <c r="Y14" s="155" t="s">
        <v>69</v>
      </c>
      <c r="Z14" s="156"/>
      <c r="AA14" s="156"/>
      <c r="AB14" s="156"/>
      <c r="AC14" s="157"/>
      <c r="AD14" s="1"/>
      <c r="AE14" s="155" t="s">
        <v>71</v>
      </c>
      <c r="AF14" s="156"/>
      <c r="AG14" s="156"/>
      <c r="AH14" s="156"/>
      <c r="AI14" s="157"/>
      <c r="AJ14" s="1"/>
      <c r="AK14" s="178" t="s">
        <v>77</v>
      </c>
      <c r="AL14" s="179"/>
      <c r="AM14" s="179"/>
      <c r="AN14" s="179"/>
      <c r="AO14" s="180"/>
      <c r="AP14" s="18"/>
      <c r="AQ14" s="178" t="s">
        <v>80</v>
      </c>
      <c r="AR14" s="180"/>
      <c r="AS14" s="18"/>
      <c r="AT14" s="178" t="s">
        <v>81</v>
      </c>
      <c r="AU14" s="179"/>
      <c r="AV14" s="179"/>
      <c r="AW14" s="179"/>
      <c r="AX14" s="179"/>
      <c r="AY14" s="179"/>
      <c r="AZ14" s="179"/>
      <c r="BA14" s="180"/>
      <c r="BB14" s="103"/>
      <c r="BC14" s="178" t="s">
        <v>85</v>
      </c>
      <c r="BD14" s="179"/>
      <c r="BE14" s="179"/>
      <c r="BF14" s="179"/>
      <c r="BG14" s="179"/>
      <c r="BH14" s="179"/>
      <c r="BI14" s="179"/>
      <c r="BJ14" s="180"/>
      <c r="BK14" s="103"/>
      <c r="BL14" s="172" t="s">
        <v>0</v>
      </c>
      <c r="BM14" s="174" t="s">
        <v>1</v>
      </c>
      <c r="BN14" s="175"/>
      <c r="BO14" s="1"/>
      <c r="BP14" s="1"/>
      <c r="BQ14" s="1"/>
    </row>
    <row r="15" spans="1:69" s="2" customFormat="1" ht="47.25" customHeight="1" thickBot="1" x14ac:dyDescent="0.4">
      <c r="B15" s="158"/>
      <c r="C15" s="159"/>
      <c r="D15" s="159"/>
      <c r="E15" s="160"/>
      <c r="G15" s="190"/>
      <c r="H15" s="191"/>
      <c r="I15" s="191"/>
      <c r="J15" s="191"/>
      <c r="K15" s="191"/>
      <c r="L15" s="191"/>
      <c r="M15" s="191"/>
      <c r="N15" s="192"/>
      <c r="O15" s="89"/>
      <c r="P15" s="187"/>
      <c r="Q15" s="188"/>
      <c r="R15" s="188"/>
      <c r="S15" s="188"/>
      <c r="T15" s="188"/>
      <c r="U15" s="188"/>
      <c r="V15" s="188"/>
      <c r="W15" s="189"/>
      <c r="X15" s="50"/>
      <c r="Y15" s="158"/>
      <c r="Z15" s="159"/>
      <c r="AA15" s="159"/>
      <c r="AB15" s="159"/>
      <c r="AC15" s="160"/>
      <c r="AD15" s="1"/>
      <c r="AE15" s="158"/>
      <c r="AF15" s="159"/>
      <c r="AG15" s="159"/>
      <c r="AH15" s="159"/>
      <c r="AI15" s="160"/>
      <c r="AJ15" s="1"/>
      <c r="AK15" s="181"/>
      <c r="AL15" s="182"/>
      <c r="AM15" s="182"/>
      <c r="AN15" s="182"/>
      <c r="AO15" s="183"/>
      <c r="AP15" s="18"/>
      <c r="AQ15" s="181"/>
      <c r="AR15" s="183"/>
      <c r="AS15" s="18"/>
      <c r="AT15" s="181"/>
      <c r="AU15" s="182"/>
      <c r="AV15" s="182"/>
      <c r="AW15" s="182"/>
      <c r="AX15" s="182"/>
      <c r="AY15" s="182"/>
      <c r="AZ15" s="182"/>
      <c r="BA15" s="183"/>
      <c r="BB15" s="103"/>
      <c r="BC15" s="181"/>
      <c r="BD15" s="182"/>
      <c r="BE15" s="182"/>
      <c r="BF15" s="182"/>
      <c r="BG15" s="182"/>
      <c r="BH15" s="182"/>
      <c r="BI15" s="182"/>
      <c r="BJ15" s="183"/>
      <c r="BK15" s="103"/>
      <c r="BL15" s="173"/>
      <c r="BM15" s="176"/>
      <c r="BN15" s="177"/>
      <c r="BO15" s="1"/>
      <c r="BP15" s="1"/>
      <c r="BQ15" s="1"/>
    </row>
    <row r="16" spans="1:69" ht="48" customHeight="1" x14ac:dyDescent="0.35">
      <c r="B16" s="194" t="s">
        <v>52</v>
      </c>
      <c r="C16" s="194"/>
      <c r="D16" s="194"/>
      <c r="E16" s="194"/>
      <c r="G16" s="150" t="s">
        <v>56</v>
      </c>
      <c r="H16" s="151"/>
      <c r="J16" s="149" t="s">
        <v>57</v>
      </c>
      <c r="K16" s="149"/>
      <c r="M16" s="151" t="s">
        <v>36</v>
      </c>
      <c r="N16" s="151"/>
      <c r="O16" s="52"/>
      <c r="P16" s="195" t="s">
        <v>14</v>
      </c>
      <c r="Q16" s="195"/>
      <c r="R16" s="87"/>
      <c r="S16" s="163" t="s">
        <v>40</v>
      </c>
      <c r="T16" s="163"/>
      <c r="U16" s="87"/>
      <c r="V16" s="163" t="s">
        <v>65</v>
      </c>
      <c r="W16" s="163"/>
      <c r="X16" s="50"/>
      <c r="Y16" s="150" t="s">
        <v>67</v>
      </c>
      <c r="Z16" s="150"/>
      <c r="AA16" s="52"/>
      <c r="AB16" s="150" t="s">
        <v>13</v>
      </c>
      <c r="AC16" s="150"/>
      <c r="AE16" s="150" t="s">
        <v>72</v>
      </c>
      <c r="AF16" s="150"/>
      <c r="AH16" s="150" t="s">
        <v>73</v>
      </c>
      <c r="AI16" s="150"/>
      <c r="AK16" s="151" t="s">
        <v>79</v>
      </c>
      <c r="AL16" s="151"/>
      <c r="AN16" s="150" t="s">
        <v>41</v>
      </c>
      <c r="AO16" s="150"/>
      <c r="AQ16" s="149" t="s">
        <v>43</v>
      </c>
      <c r="AR16" s="149"/>
      <c r="AT16" s="150" t="s">
        <v>27</v>
      </c>
      <c r="AU16" s="150"/>
      <c r="AW16" s="150" t="s">
        <v>44</v>
      </c>
      <c r="AX16" s="150"/>
      <c r="AZ16" s="150" t="s">
        <v>83</v>
      </c>
      <c r="BA16" s="150"/>
      <c r="BB16" s="103"/>
      <c r="BC16" s="149" t="s">
        <v>15</v>
      </c>
      <c r="BD16" s="149"/>
      <c r="BF16" s="151" t="s">
        <v>12</v>
      </c>
      <c r="BG16" s="151"/>
      <c r="BI16" s="151" t="s">
        <v>86</v>
      </c>
      <c r="BJ16" s="151"/>
      <c r="BK16" s="103"/>
      <c r="BL16" s="52"/>
      <c r="BM16" s="149"/>
      <c r="BN16" s="149"/>
    </row>
    <row r="17" spans="1:69" ht="15.5" hidden="1" customHeight="1" x14ac:dyDescent="0.35">
      <c r="B17" s="31"/>
      <c r="C17" s="31"/>
      <c r="D17" s="31"/>
      <c r="E17" s="6"/>
      <c r="F17" s="6"/>
      <c r="G17" s="6"/>
      <c r="H17" s="6"/>
      <c r="I17" s="6"/>
      <c r="J17" s="6"/>
      <c r="K17" s="6"/>
      <c r="L17" s="6"/>
      <c r="O17" s="5"/>
      <c r="P17" s="5"/>
      <c r="Q17" s="6"/>
      <c r="R17" s="6"/>
      <c r="S17" s="6"/>
      <c r="T17" s="6"/>
      <c r="U17" s="6"/>
      <c r="V17" s="6"/>
      <c r="W17" s="6"/>
      <c r="X17" s="50"/>
      <c r="Y17" s="5"/>
      <c r="Z17" s="6"/>
      <c r="AA17" s="6"/>
      <c r="AB17" s="6"/>
      <c r="AC17" s="6"/>
      <c r="AK17" s="31"/>
      <c r="AQ17" s="31"/>
      <c r="AT17" s="150"/>
      <c r="AU17" s="150"/>
      <c r="AW17" s="150"/>
      <c r="AX17" s="150"/>
      <c r="AZ17" s="150"/>
      <c r="BA17" s="150"/>
      <c r="BB17" s="103"/>
      <c r="BC17" s="150"/>
      <c r="BD17" s="150"/>
      <c r="BF17" s="31"/>
      <c r="BI17" s="31"/>
      <c r="BK17" s="103"/>
      <c r="BL17" s="65"/>
      <c r="BM17" s="193"/>
      <c r="BN17" s="193"/>
    </row>
    <row r="18" spans="1:69" ht="17.25" customHeight="1" thickBot="1" x14ac:dyDescent="0.4">
      <c r="B18" s="152">
        <f>E19+E23+E27</f>
        <v>30</v>
      </c>
      <c r="C18" s="152"/>
      <c r="D18" s="152"/>
      <c r="E18" s="152"/>
      <c r="F18" s="6"/>
      <c r="G18" s="152">
        <f>H19+H23+H27</f>
        <v>7</v>
      </c>
      <c r="H18" s="152"/>
      <c r="I18" s="6"/>
      <c r="J18" s="152">
        <f>K19+K23+K27</f>
        <v>12</v>
      </c>
      <c r="K18" s="152"/>
      <c r="L18" s="6"/>
      <c r="M18" s="152">
        <f>N19+N23+N27</f>
        <v>3</v>
      </c>
      <c r="N18" s="152"/>
      <c r="O18" s="5"/>
      <c r="P18" s="152">
        <f>Q19+Q23+Q27</f>
        <v>3</v>
      </c>
      <c r="Q18" s="152"/>
      <c r="R18" s="10"/>
      <c r="S18" s="152">
        <f>T19+T23+T27</f>
        <v>3</v>
      </c>
      <c r="T18" s="152"/>
      <c r="U18" s="10"/>
      <c r="V18" s="152">
        <f>W19+W23+W27</f>
        <v>4</v>
      </c>
      <c r="W18" s="152"/>
      <c r="X18" s="50"/>
      <c r="Y18" s="152">
        <f>Z19+Z23+Z27</f>
        <v>6</v>
      </c>
      <c r="Z18" s="152"/>
      <c r="AA18" s="10"/>
      <c r="AB18" s="152">
        <f>AC19+AC23+AC27</f>
        <v>3</v>
      </c>
      <c r="AC18" s="152"/>
      <c r="AE18" s="152">
        <f>AF19+AF23+AF27</f>
        <v>9</v>
      </c>
      <c r="AF18" s="152"/>
      <c r="AH18" s="152">
        <f>AI19+AI23+AI27</f>
        <v>6</v>
      </c>
      <c r="AI18" s="152"/>
      <c r="AK18" s="152">
        <f>AL19+AL23+AL27</f>
        <v>11</v>
      </c>
      <c r="AL18" s="152"/>
      <c r="AN18" s="152">
        <f>AO19</f>
        <v>2</v>
      </c>
      <c r="AO18" s="152"/>
      <c r="AQ18" s="201"/>
      <c r="AR18" s="201"/>
      <c r="AT18" s="152">
        <f>AU19+AU23</f>
        <v>13</v>
      </c>
      <c r="AU18" s="152"/>
      <c r="AW18" s="152">
        <f>AX19</f>
        <v>2</v>
      </c>
      <c r="AX18" s="152"/>
      <c r="AZ18" s="152">
        <f>BA19</f>
        <v>9</v>
      </c>
      <c r="BA18" s="152"/>
      <c r="BB18" s="103"/>
      <c r="BC18" s="152">
        <f>BD19+BD23+BD27</f>
        <v>13</v>
      </c>
      <c r="BD18" s="152"/>
      <c r="BF18" s="152">
        <f>BG19+BG23+BG27</f>
        <v>8</v>
      </c>
      <c r="BG18" s="152"/>
      <c r="BI18" s="152">
        <f>BJ19+BJ23</f>
        <v>7</v>
      </c>
      <c r="BJ18" s="152"/>
      <c r="BK18" s="103"/>
      <c r="BL18" s="49">
        <v>19</v>
      </c>
      <c r="BM18" s="152">
        <f>BN19+BN23+BN27</f>
        <v>3</v>
      </c>
      <c r="BN18" s="152"/>
    </row>
    <row r="19" spans="1:69" s="6" customFormat="1" ht="15" customHeight="1" thickBot="1" x14ac:dyDescent="0.4">
      <c r="A19" s="196"/>
      <c r="B19" s="30" t="s">
        <v>2</v>
      </c>
      <c r="C19" s="53"/>
      <c r="D19" s="53"/>
      <c r="E19" s="37">
        <v>10</v>
      </c>
      <c r="F19" s="14"/>
      <c r="G19" s="30" t="s">
        <v>2</v>
      </c>
      <c r="H19" s="37">
        <v>3</v>
      </c>
      <c r="J19" s="30" t="s">
        <v>2</v>
      </c>
      <c r="K19" s="37">
        <v>4</v>
      </c>
      <c r="M19" s="30" t="s">
        <v>2</v>
      </c>
      <c r="N19" s="37">
        <v>1</v>
      </c>
      <c r="O19" s="5"/>
      <c r="P19" s="30" t="s">
        <v>2</v>
      </c>
      <c r="Q19" s="37">
        <v>3</v>
      </c>
      <c r="R19" s="74"/>
      <c r="S19" s="30" t="s">
        <v>2</v>
      </c>
      <c r="T19" s="37">
        <v>3</v>
      </c>
      <c r="U19" s="74"/>
      <c r="V19" s="30" t="s">
        <v>2</v>
      </c>
      <c r="W19" s="37">
        <v>4</v>
      </c>
      <c r="X19" s="50"/>
      <c r="Y19" s="30" t="s">
        <v>2</v>
      </c>
      <c r="Z19" s="37">
        <v>2</v>
      </c>
      <c r="AA19" s="10"/>
      <c r="AB19" s="30" t="s">
        <v>2</v>
      </c>
      <c r="AC19" s="37">
        <v>1</v>
      </c>
      <c r="AD19" s="1"/>
      <c r="AE19" s="30" t="s">
        <v>2</v>
      </c>
      <c r="AF19" s="37">
        <v>7</v>
      </c>
      <c r="AG19" s="1"/>
      <c r="AH19" s="30" t="s">
        <v>2</v>
      </c>
      <c r="AI19" s="37">
        <v>2</v>
      </c>
      <c r="AJ19" s="1"/>
      <c r="AK19" s="30" t="s">
        <v>2</v>
      </c>
      <c r="AL19" s="37">
        <v>5</v>
      </c>
      <c r="AN19" s="30" t="s">
        <v>2</v>
      </c>
      <c r="AO19" s="37">
        <v>2</v>
      </c>
      <c r="AQ19" s="50"/>
      <c r="AR19" s="52"/>
      <c r="AT19" s="30" t="s">
        <v>2</v>
      </c>
      <c r="AU19" s="37">
        <v>11</v>
      </c>
      <c r="AW19" s="106" t="s">
        <v>2</v>
      </c>
      <c r="AX19" s="107">
        <v>2</v>
      </c>
      <c r="AZ19" s="106" t="s">
        <v>2</v>
      </c>
      <c r="BA19" s="107">
        <v>9</v>
      </c>
      <c r="BB19" s="103"/>
      <c r="BC19" s="30" t="s">
        <v>2</v>
      </c>
      <c r="BD19" s="37">
        <v>5</v>
      </c>
      <c r="BF19" s="30" t="s">
        <v>2</v>
      </c>
      <c r="BG19" s="37">
        <v>4</v>
      </c>
      <c r="BI19" s="30" t="s">
        <v>2</v>
      </c>
      <c r="BJ19" s="37">
        <v>4</v>
      </c>
      <c r="BK19" s="103"/>
      <c r="BL19" s="168" t="s">
        <v>109</v>
      </c>
      <c r="BM19" s="42" t="s">
        <v>2</v>
      </c>
      <c r="BN19" s="37">
        <v>1</v>
      </c>
      <c r="BO19" s="1"/>
      <c r="BP19" s="1"/>
      <c r="BQ19" s="1"/>
    </row>
    <row r="20" spans="1:69" s="6" customFormat="1" ht="15" customHeight="1" x14ac:dyDescent="0.35">
      <c r="A20" s="196"/>
      <c r="B20" s="32" t="s">
        <v>9</v>
      </c>
      <c r="C20" s="55" t="s">
        <v>5</v>
      </c>
      <c r="D20" s="90" t="s">
        <v>6</v>
      </c>
      <c r="E20" s="39" t="s">
        <v>10</v>
      </c>
      <c r="F20" s="14"/>
      <c r="G20" s="64"/>
      <c r="H20" s="59"/>
      <c r="J20" s="161" t="s">
        <v>58</v>
      </c>
      <c r="K20" s="59"/>
      <c r="M20" s="64"/>
      <c r="N20" s="59"/>
      <c r="O20" s="5"/>
      <c r="P20" s="64"/>
      <c r="Q20" s="59"/>
      <c r="R20" s="74"/>
      <c r="S20" s="64"/>
      <c r="T20" s="59"/>
      <c r="U20" s="74"/>
      <c r="V20" s="64"/>
      <c r="W20" s="59"/>
      <c r="X20" s="50"/>
      <c r="Y20" s="64"/>
      <c r="Z20" s="59"/>
      <c r="AA20" s="10"/>
      <c r="AB20" s="64"/>
      <c r="AC20" s="59"/>
      <c r="AD20" s="1"/>
      <c r="AE20" s="64"/>
      <c r="AF20" s="59"/>
      <c r="AG20" s="1"/>
      <c r="AH20" s="64"/>
      <c r="AI20" s="59"/>
      <c r="AJ20" s="1"/>
      <c r="AK20" s="153" t="s">
        <v>112</v>
      </c>
      <c r="AL20" s="59"/>
      <c r="AN20" s="153" t="s">
        <v>16</v>
      </c>
      <c r="AO20" s="59"/>
      <c r="AQ20" s="198"/>
      <c r="AR20" s="50"/>
      <c r="AT20" s="153" t="s">
        <v>82</v>
      </c>
      <c r="AU20" s="59"/>
      <c r="AW20" s="199" t="s">
        <v>45</v>
      </c>
      <c r="AX20" s="108"/>
      <c r="AZ20" s="199" t="s">
        <v>113</v>
      </c>
      <c r="BA20" s="108"/>
      <c r="BB20" s="103"/>
      <c r="BC20" s="153" t="s">
        <v>106</v>
      </c>
      <c r="BD20" s="59"/>
      <c r="BF20" s="153" t="s">
        <v>21</v>
      </c>
      <c r="BG20" s="59"/>
      <c r="BI20" s="23"/>
      <c r="BJ20" s="24"/>
      <c r="BK20" s="103"/>
      <c r="BL20" s="162"/>
      <c r="BM20" s="43"/>
      <c r="BN20" s="26"/>
      <c r="BO20" s="1"/>
      <c r="BP20" s="1"/>
      <c r="BQ20" s="1"/>
    </row>
    <row r="21" spans="1:69" s="6" customFormat="1" ht="58.5" customHeight="1" x14ac:dyDescent="0.35">
      <c r="A21" s="78"/>
      <c r="B21" s="56" t="s">
        <v>16</v>
      </c>
      <c r="C21" s="57" t="s">
        <v>8</v>
      </c>
      <c r="D21" s="57" t="s">
        <v>8</v>
      </c>
      <c r="E21" s="58" t="s">
        <v>37</v>
      </c>
      <c r="F21" s="14"/>
      <c r="G21" s="33" t="s">
        <v>18</v>
      </c>
      <c r="H21" s="26"/>
      <c r="J21" s="162"/>
      <c r="K21" s="26"/>
      <c r="M21" s="33" t="s">
        <v>22</v>
      </c>
      <c r="N21" s="26"/>
      <c r="O21" s="5"/>
      <c r="P21" s="33" t="s">
        <v>64</v>
      </c>
      <c r="Q21" s="26"/>
      <c r="R21" s="74"/>
      <c r="S21" s="33" t="s">
        <v>64</v>
      </c>
      <c r="T21" s="26"/>
      <c r="U21" s="74"/>
      <c r="V21" s="33" t="s">
        <v>66</v>
      </c>
      <c r="W21" s="26"/>
      <c r="X21" s="50"/>
      <c r="Y21" s="33" t="s">
        <v>39</v>
      </c>
      <c r="Z21" s="26"/>
      <c r="AA21" s="10"/>
      <c r="AB21" s="33" t="s">
        <v>70</v>
      </c>
      <c r="AC21" s="26"/>
      <c r="AD21" s="1"/>
      <c r="AE21" s="33" t="s">
        <v>111</v>
      </c>
      <c r="AF21" s="26"/>
      <c r="AG21" s="1"/>
      <c r="AH21" s="33" t="s">
        <v>75</v>
      </c>
      <c r="AI21" s="26"/>
      <c r="AJ21" s="1"/>
      <c r="AK21" s="154"/>
      <c r="AL21" s="26"/>
      <c r="AN21" s="154"/>
      <c r="AO21" s="26"/>
      <c r="AQ21" s="198"/>
      <c r="AR21" s="50"/>
      <c r="AT21" s="154"/>
      <c r="AU21" s="26"/>
      <c r="AW21" s="154"/>
      <c r="AX21" s="26"/>
      <c r="AZ21" s="154"/>
      <c r="BA21" s="26"/>
      <c r="BB21" s="103"/>
      <c r="BC21" s="154"/>
      <c r="BD21" s="26"/>
      <c r="BF21" s="154"/>
      <c r="BG21" s="26"/>
      <c r="BI21" s="48" t="s">
        <v>108</v>
      </c>
      <c r="BJ21" s="24"/>
      <c r="BK21" s="103"/>
      <c r="BL21" s="162"/>
      <c r="BM21" s="44" t="s">
        <v>110</v>
      </c>
      <c r="BN21" s="40"/>
      <c r="BO21" s="1"/>
      <c r="BP21" s="1"/>
      <c r="BQ21" s="1"/>
    </row>
    <row r="22" spans="1:69" s="6" customFormat="1" ht="29.25" customHeight="1" thickBot="1" x14ac:dyDescent="0.4">
      <c r="A22" s="78"/>
      <c r="B22" s="202" t="s">
        <v>55</v>
      </c>
      <c r="C22" s="203"/>
      <c r="D22" s="203"/>
      <c r="E22" s="204"/>
      <c r="F22" s="14"/>
      <c r="G22" s="33"/>
      <c r="H22" s="26"/>
      <c r="J22" s="33"/>
      <c r="K22" s="26"/>
      <c r="M22" s="33"/>
      <c r="N22" s="26"/>
      <c r="O22" s="5"/>
      <c r="P22" s="34"/>
      <c r="Q22" s="22"/>
      <c r="R22" s="74"/>
      <c r="S22" s="34"/>
      <c r="T22" s="22"/>
      <c r="U22" s="74"/>
      <c r="V22" s="34"/>
      <c r="W22" s="22"/>
      <c r="X22" s="50"/>
      <c r="Y22" s="33"/>
      <c r="Z22" s="26"/>
      <c r="AA22" s="10"/>
      <c r="AB22" s="33"/>
      <c r="AC22" s="26"/>
      <c r="AD22" s="1"/>
      <c r="AE22" s="33"/>
      <c r="AF22" s="26"/>
      <c r="AG22" s="1"/>
      <c r="AH22" s="33"/>
      <c r="AI22" s="26"/>
      <c r="AJ22" s="1"/>
      <c r="AK22" s="197"/>
      <c r="AL22" s="26"/>
      <c r="AN22" s="197"/>
      <c r="AO22" s="26"/>
      <c r="AQ22" s="63"/>
      <c r="AR22" s="50"/>
      <c r="AT22" s="197"/>
      <c r="AU22" s="26"/>
      <c r="AW22" s="200"/>
      <c r="AX22" s="22"/>
      <c r="AZ22" s="200"/>
      <c r="BA22" s="22"/>
      <c r="BB22" s="103"/>
      <c r="BC22" s="61"/>
      <c r="BD22" s="26"/>
      <c r="BF22" s="61"/>
      <c r="BG22" s="26"/>
      <c r="BI22" s="48"/>
      <c r="BJ22" s="24"/>
      <c r="BK22" s="103"/>
      <c r="BL22" s="162"/>
      <c r="BM22" s="44"/>
      <c r="BN22" s="40"/>
      <c r="BO22" s="1"/>
      <c r="BP22" s="1"/>
      <c r="BQ22" s="1"/>
    </row>
    <row r="23" spans="1:69" s="6" customFormat="1" ht="15" customHeight="1" thickBot="1" x14ac:dyDescent="0.4">
      <c r="A23" s="196"/>
      <c r="B23" s="28" t="s">
        <v>3</v>
      </c>
      <c r="C23" s="54"/>
      <c r="D23" s="54"/>
      <c r="E23" s="38">
        <v>10</v>
      </c>
      <c r="F23" s="14"/>
      <c r="G23" s="28" t="s">
        <v>3</v>
      </c>
      <c r="H23" s="38">
        <v>2</v>
      </c>
      <c r="J23" s="28" t="s">
        <v>3</v>
      </c>
      <c r="K23" s="38">
        <v>4</v>
      </c>
      <c r="M23" s="28" t="s">
        <v>3</v>
      </c>
      <c r="N23" s="38">
        <v>1</v>
      </c>
      <c r="O23" s="5"/>
      <c r="P23" s="5"/>
      <c r="Q23" s="5"/>
      <c r="R23" s="74"/>
      <c r="S23" s="74"/>
      <c r="T23" s="74"/>
      <c r="U23" s="74"/>
      <c r="V23" s="74"/>
      <c r="W23" s="74"/>
      <c r="X23" s="74"/>
      <c r="Y23" s="28" t="s">
        <v>3</v>
      </c>
      <c r="Z23" s="38">
        <v>2</v>
      </c>
      <c r="AA23" s="10"/>
      <c r="AB23" s="28" t="s">
        <v>3</v>
      </c>
      <c r="AC23" s="38">
        <v>1</v>
      </c>
      <c r="AD23" s="1"/>
      <c r="AE23" s="28" t="s">
        <v>3</v>
      </c>
      <c r="AF23" s="38">
        <v>1</v>
      </c>
      <c r="AG23" s="1"/>
      <c r="AH23" s="28" t="s">
        <v>3</v>
      </c>
      <c r="AI23" s="38">
        <v>2</v>
      </c>
      <c r="AJ23" s="1"/>
      <c r="AK23" s="28" t="s">
        <v>3</v>
      </c>
      <c r="AL23" s="38">
        <v>3</v>
      </c>
      <c r="AN23" s="28"/>
      <c r="AO23" s="29"/>
      <c r="AQ23" s="50"/>
      <c r="AR23" s="50"/>
      <c r="AT23" s="109" t="s">
        <v>3</v>
      </c>
      <c r="AU23" s="86">
        <v>2</v>
      </c>
      <c r="AW23" s="74"/>
      <c r="AX23" s="74"/>
      <c r="AY23" s="74"/>
      <c r="AZ23" s="74"/>
      <c r="BA23" s="74"/>
      <c r="BB23" s="103"/>
      <c r="BC23" s="28" t="s">
        <v>3</v>
      </c>
      <c r="BD23" s="38">
        <v>4</v>
      </c>
      <c r="BF23" s="28" t="s">
        <v>3</v>
      </c>
      <c r="BG23" s="38">
        <v>2</v>
      </c>
      <c r="BI23" s="28" t="s">
        <v>3</v>
      </c>
      <c r="BJ23" s="38">
        <v>3</v>
      </c>
      <c r="BK23" s="103"/>
      <c r="BL23" s="162"/>
      <c r="BM23" s="45" t="s">
        <v>3</v>
      </c>
      <c r="BN23" s="38">
        <v>1</v>
      </c>
      <c r="BO23" s="1"/>
      <c r="BP23" s="1"/>
      <c r="BQ23" s="1"/>
    </row>
    <row r="24" spans="1:69" s="6" customFormat="1" ht="15" customHeight="1" x14ac:dyDescent="0.35">
      <c r="A24" s="196"/>
      <c r="B24" s="32" t="s">
        <v>9</v>
      </c>
      <c r="C24" s="55" t="s">
        <v>5</v>
      </c>
      <c r="D24" s="90" t="s">
        <v>6</v>
      </c>
      <c r="E24" s="39" t="s">
        <v>10</v>
      </c>
      <c r="F24" s="14"/>
      <c r="G24" s="25"/>
      <c r="H24" s="59"/>
      <c r="J24" s="161" t="s">
        <v>61</v>
      </c>
      <c r="K24" s="59"/>
      <c r="M24" s="25"/>
      <c r="N24" s="59"/>
      <c r="O24" s="5"/>
      <c r="P24" s="5"/>
      <c r="Q24" s="5"/>
      <c r="R24" s="74"/>
      <c r="S24" s="74"/>
      <c r="T24" s="74"/>
      <c r="U24" s="74"/>
      <c r="V24" s="74"/>
      <c r="W24" s="74"/>
      <c r="X24" s="74"/>
      <c r="Y24" s="25"/>
      <c r="Z24" s="59"/>
      <c r="AA24" s="10"/>
      <c r="AB24" s="25"/>
      <c r="AC24" s="59"/>
      <c r="AD24" s="1"/>
      <c r="AE24" s="25"/>
      <c r="AF24" s="59"/>
      <c r="AG24" s="1"/>
      <c r="AH24" s="25"/>
      <c r="AI24" s="59"/>
      <c r="AJ24" s="1"/>
      <c r="AK24" s="64"/>
      <c r="AL24" s="59"/>
      <c r="AN24" s="64"/>
      <c r="AO24" s="59"/>
      <c r="AQ24" s="50"/>
      <c r="AR24" s="50"/>
      <c r="AT24" s="110"/>
      <c r="AU24" s="108"/>
      <c r="AW24" s="74"/>
      <c r="AX24" s="74"/>
      <c r="AY24" s="74"/>
      <c r="AZ24" s="74"/>
      <c r="BA24" s="74"/>
      <c r="BB24" s="103"/>
      <c r="BC24" s="153" t="s">
        <v>107</v>
      </c>
      <c r="BD24" s="59"/>
      <c r="BF24" s="64"/>
      <c r="BG24" s="59"/>
      <c r="BI24" s="23"/>
      <c r="BJ24" s="24"/>
      <c r="BK24" s="103"/>
      <c r="BL24" s="162"/>
      <c r="BM24" s="43"/>
      <c r="BN24" s="26"/>
      <c r="BO24" s="1"/>
      <c r="BP24" s="1"/>
      <c r="BQ24" s="1"/>
    </row>
    <row r="25" spans="1:69" s="6" customFormat="1" ht="50.15" customHeight="1" x14ac:dyDescent="0.35">
      <c r="A25" s="78"/>
      <c r="B25" s="56" t="s">
        <v>16</v>
      </c>
      <c r="C25" s="57" t="s">
        <v>8</v>
      </c>
      <c r="D25" s="57" t="s">
        <v>8</v>
      </c>
      <c r="E25" s="58" t="s">
        <v>37</v>
      </c>
      <c r="F25" s="14"/>
      <c r="G25" s="33" t="s">
        <v>39</v>
      </c>
      <c r="H25" s="26"/>
      <c r="J25" s="162"/>
      <c r="K25" s="26"/>
      <c r="M25" s="33" t="s">
        <v>22</v>
      </c>
      <c r="N25" s="26"/>
      <c r="O25" s="5"/>
      <c r="P25" s="5"/>
      <c r="Q25" s="5"/>
      <c r="R25" s="74"/>
      <c r="S25" s="74"/>
      <c r="T25" s="74"/>
      <c r="U25" s="74"/>
      <c r="V25" s="74"/>
      <c r="W25" s="74"/>
      <c r="X25" s="74"/>
      <c r="Y25" s="33" t="s">
        <v>39</v>
      </c>
      <c r="Z25" s="26"/>
      <c r="AA25" s="10"/>
      <c r="AB25" s="33" t="s">
        <v>22</v>
      </c>
      <c r="AC25" s="26"/>
      <c r="AD25" s="1"/>
      <c r="AE25" s="33" t="s">
        <v>22</v>
      </c>
      <c r="AF25" s="26"/>
      <c r="AG25" s="1"/>
      <c r="AH25" s="33" t="s">
        <v>75</v>
      </c>
      <c r="AI25" s="26"/>
      <c r="AJ25" s="1"/>
      <c r="AK25" s="25" t="s">
        <v>7</v>
      </c>
      <c r="AL25" s="26"/>
      <c r="AN25" s="33"/>
      <c r="AO25" s="26"/>
      <c r="AQ25" s="50"/>
      <c r="AR25" s="50"/>
      <c r="AT25" s="25" t="s">
        <v>45</v>
      </c>
      <c r="AU25" s="26"/>
      <c r="AW25" s="74"/>
      <c r="AX25" s="74"/>
      <c r="AY25" s="74"/>
      <c r="AZ25" s="74"/>
      <c r="BA25" s="74"/>
      <c r="BB25" s="103"/>
      <c r="BC25" s="154"/>
      <c r="BD25" s="26"/>
      <c r="BF25" s="25" t="s">
        <v>20</v>
      </c>
      <c r="BG25" s="26"/>
      <c r="BI25" s="23" t="s">
        <v>87</v>
      </c>
      <c r="BJ25" s="24"/>
      <c r="BK25" s="103"/>
      <c r="BL25" s="162"/>
      <c r="BM25" s="43" t="s">
        <v>23</v>
      </c>
      <c r="BN25" s="26"/>
      <c r="BO25" s="1"/>
      <c r="BP25" s="1"/>
      <c r="BQ25" s="1"/>
    </row>
    <row r="26" spans="1:69" s="6" customFormat="1" ht="15.75" customHeight="1" thickBot="1" x14ac:dyDescent="0.4">
      <c r="A26" s="78"/>
      <c r="B26" s="202" t="s">
        <v>55</v>
      </c>
      <c r="C26" s="203"/>
      <c r="D26" s="203"/>
      <c r="E26" s="204"/>
      <c r="F26" s="14"/>
      <c r="G26" s="33"/>
      <c r="H26" s="26"/>
      <c r="J26" s="33"/>
      <c r="K26" s="26"/>
      <c r="M26" s="33"/>
      <c r="N26" s="26"/>
      <c r="O26" s="5"/>
      <c r="P26" s="5"/>
      <c r="Q26" s="5"/>
      <c r="R26" s="74"/>
      <c r="S26" s="74"/>
      <c r="T26" s="74"/>
      <c r="U26" s="74"/>
      <c r="V26" s="74"/>
      <c r="W26" s="74"/>
      <c r="X26" s="74"/>
      <c r="Y26" s="33"/>
      <c r="Z26" s="26"/>
      <c r="AA26" s="10"/>
      <c r="AB26" s="33"/>
      <c r="AC26" s="26"/>
      <c r="AD26" s="1"/>
      <c r="AE26" s="33"/>
      <c r="AF26" s="26"/>
      <c r="AG26" s="1"/>
      <c r="AH26" s="33"/>
      <c r="AI26" s="26"/>
      <c r="AJ26" s="1"/>
      <c r="AK26" s="33"/>
      <c r="AL26" s="26"/>
      <c r="AN26" s="33"/>
      <c r="AO26" s="26"/>
      <c r="AQ26" s="50"/>
      <c r="AR26" s="50"/>
      <c r="AT26" s="21"/>
      <c r="AU26" s="22"/>
      <c r="AW26" s="74"/>
      <c r="AX26" s="74"/>
      <c r="AY26" s="74"/>
      <c r="AZ26" s="74"/>
      <c r="BA26" s="74"/>
      <c r="BB26" s="103"/>
      <c r="BC26" s="25"/>
      <c r="BD26" s="26"/>
      <c r="BF26" s="25"/>
      <c r="BG26" s="26"/>
      <c r="BI26" s="23"/>
      <c r="BJ26" s="24"/>
      <c r="BK26" s="103"/>
      <c r="BL26" s="162"/>
      <c r="BM26" s="43"/>
      <c r="BN26" s="26"/>
      <c r="BO26" s="1"/>
      <c r="BP26" s="1"/>
      <c r="BQ26" s="1"/>
    </row>
    <row r="27" spans="1:69" s="6" customFormat="1" ht="18.75" customHeight="1" x14ac:dyDescent="0.35">
      <c r="A27" s="196"/>
      <c r="B27" s="28" t="s">
        <v>4</v>
      </c>
      <c r="C27" s="54"/>
      <c r="D27" s="54"/>
      <c r="E27" s="38">
        <v>10</v>
      </c>
      <c r="F27" s="14"/>
      <c r="G27" s="28" t="s">
        <v>4</v>
      </c>
      <c r="H27" s="38">
        <v>2</v>
      </c>
      <c r="J27" s="28" t="s">
        <v>4</v>
      </c>
      <c r="K27" s="38">
        <v>4</v>
      </c>
      <c r="M27" s="28" t="s">
        <v>4</v>
      </c>
      <c r="N27" s="38">
        <v>1</v>
      </c>
      <c r="O27" s="5"/>
      <c r="P27" s="5"/>
      <c r="Q27" s="5"/>
      <c r="R27" s="74"/>
      <c r="S27" s="74"/>
      <c r="T27" s="74"/>
      <c r="U27" s="74"/>
      <c r="V27" s="74"/>
      <c r="W27" s="74"/>
      <c r="X27" s="74"/>
      <c r="Y27" s="28" t="s">
        <v>4</v>
      </c>
      <c r="Z27" s="38">
        <v>2</v>
      </c>
      <c r="AA27" s="10"/>
      <c r="AB27" s="28" t="s">
        <v>4</v>
      </c>
      <c r="AC27" s="38">
        <v>1</v>
      </c>
      <c r="AD27" s="1"/>
      <c r="AE27" s="28" t="s">
        <v>4</v>
      </c>
      <c r="AF27" s="38">
        <v>1</v>
      </c>
      <c r="AG27" s="1"/>
      <c r="AH27" s="28" t="s">
        <v>4</v>
      </c>
      <c r="AI27" s="38">
        <v>2</v>
      </c>
      <c r="AJ27" s="1"/>
      <c r="AK27" s="28" t="s">
        <v>4</v>
      </c>
      <c r="AL27" s="38">
        <v>3</v>
      </c>
      <c r="AN27" s="28"/>
      <c r="AO27" s="29"/>
      <c r="AQ27" s="211"/>
      <c r="AR27" s="211"/>
      <c r="AS27" s="74"/>
      <c r="AT27" s="74"/>
      <c r="AU27" s="74"/>
      <c r="AV27" s="74"/>
      <c r="AW27" s="74"/>
      <c r="AX27" s="74"/>
      <c r="AY27" s="74"/>
      <c r="AZ27" s="74"/>
      <c r="BA27" s="74"/>
      <c r="BB27" s="103"/>
      <c r="BC27" s="28" t="s">
        <v>4</v>
      </c>
      <c r="BD27" s="38">
        <v>4</v>
      </c>
      <c r="BF27" s="28" t="s">
        <v>4</v>
      </c>
      <c r="BG27" s="38">
        <v>2</v>
      </c>
      <c r="BI27" s="28"/>
      <c r="BJ27" s="38"/>
      <c r="BK27" s="103"/>
      <c r="BL27" s="162"/>
      <c r="BM27" s="84" t="s">
        <v>4</v>
      </c>
      <c r="BN27" s="38">
        <v>1</v>
      </c>
      <c r="BO27" s="1"/>
      <c r="BP27" s="1"/>
      <c r="BQ27" s="1"/>
    </row>
    <row r="28" spans="1:69" s="6" customFormat="1" ht="15" customHeight="1" x14ac:dyDescent="0.35">
      <c r="A28" s="196"/>
      <c r="B28" s="32" t="s">
        <v>9</v>
      </c>
      <c r="C28" s="55" t="s">
        <v>5</v>
      </c>
      <c r="D28" s="90" t="s">
        <v>6</v>
      </c>
      <c r="E28" s="39" t="s">
        <v>10</v>
      </c>
      <c r="F28" s="14"/>
      <c r="G28" s="25"/>
      <c r="H28" s="59"/>
      <c r="J28" s="25" t="s">
        <v>59</v>
      </c>
      <c r="K28" s="59"/>
      <c r="M28" s="25"/>
      <c r="N28" s="59"/>
      <c r="O28" s="5"/>
      <c r="P28" s="5"/>
      <c r="Q28" s="5"/>
      <c r="R28" s="74"/>
      <c r="S28" s="74"/>
      <c r="T28" s="74"/>
      <c r="U28" s="74"/>
      <c r="V28" s="74"/>
      <c r="W28" s="74"/>
      <c r="X28" s="74"/>
      <c r="Y28" s="25"/>
      <c r="Z28" s="59"/>
      <c r="AA28" s="10"/>
      <c r="AB28" s="25"/>
      <c r="AC28" s="59"/>
      <c r="AD28" s="1"/>
      <c r="AE28" s="25"/>
      <c r="AF28" s="59"/>
      <c r="AG28" s="1"/>
      <c r="AH28" s="161" t="s">
        <v>75</v>
      </c>
      <c r="AI28" s="59"/>
      <c r="AJ28" s="1"/>
      <c r="AK28" s="153" t="s">
        <v>7</v>
      </c>
      <c r="AL28" s="59"/>
      <c r="AN28" s="64"/>
      <c r="AO28" s="59"/>
      <c r="AQ28" s="50"/>
      <c r="AR28" s="50"/>
      <c r="AS28" s="74"/>
      <c r="AT28" s="74"/>
      <c r="AU28" s="74"/>
      <c r="AV28" s="74"/>
      <c r="AW28" s="74"/>
      <c r="AX28" s="74"/>
      <c r="AY28" s="74"/>
      <c r="AZ28" s="74"/>
      <c r="BA28" s="74"/>
      <c r="BB28" s="103"/>
      <c r="BC28" s="153" t="s">
        <v>107</v>
      </c>
      <c r="BD28" s="59"/>
      <c r="BF28" s="153" t="s">
        <v>20</v>
      </c>
      <c r="BG28" s="59"/>
      <c r="BI28" s="23"/>
      <c r="BJ28" s="24"/>
      <c r="BK28" s="103"/>
      <c r="BL28" s="162"/>
      <c r="BM28" s="208" t="s">
        <v>11</v>
      </c>
      <c r="BN28" s="26"/>
      <c r="BO28" s="1"/>
      <c r="BP28" s="1"/>
      <c r="BQ28" s="1"/>
    </row>
    <row r="29" spans="1:69" s="6" customFormat="1" ht="15" customHeight="1" x14ac:dyDescent="0.35">
      <c r="B29" s="56" t="s">
        <v>16</v>
      </c>
      <c r="C29" s="57" t="s">
        <v>8</v>
      </c>
      <c r="D29" s="57" t="s">
        <v>8</v>
      </c>
      <c r="E29" s="58" t="s">
        <v>37</v>
      </c>
      <c r="F29" s="14"/>
      <c r="G29" s="33" t="s">
        <v>17</v>
      </c>
      <c r="H29" s="26"/>
      <c r="J29" s="33" t="s">
        <v>60</v>
      </c>
      <c r="K29" s="26"/>
      <c r="M29" s="33" t="s">
        <v>17</v>
      </c>
      <c r="N29" s="26"/>
      <c r="O29" s="5"/>
      <c r="P29" s="5"/>
      <c r="Q29" s="5"/>
      <c r="R29" s="74"/>
      <c r="S29" s="74"/>
      <c r="T29" s="74"/>
      <c r="U29" s="74"/>
      <c r="V29" s="74"/>
      <c r="W29" s="74"/>
      <c r="X29" s="74"/>
      <c r="Y29" s="33" t="s">
        <v>22</v>
      </c>
      <c r="Z29" s="26"/>
      <c r="AA29" s="10"/>
      <c r="AB29" s="33" t="s">
        <v>17</v>
      </c>
      <c r="AC29" s="26"/>
      <c r="AD29" s="1"/>
      <c r="AE29" s="33" t="s">
        <v>17</v>
      </c>
      <c r="AF29" s="26"/>
      <c r="AG29" s="1"/>
      <c r="AH29" s="162"/>
      <c r="AI29" s="26"/>
      <c r="AJ29" s="1"/>
      <c r="AK29" s="154"/>
      <c r="AL29" s="26"/>
      <c r="AN29" s="25"/>
      <c r="AO29" s="26"/>
      <c r="AQ29" s="50"/>
      <c r="AR29" s="50"/>
      <c r="AS29" s="74"/>
      <c r="AT29" s="74"/>
      <c r="AU29" s="74"/>
      <c r="AV29" s="74"/>
      <c r="AW29" s="74"/>
      <c r="AX29" s="74"/>
      <c r="AY29" s="74"/>
      <c r="AZ29" s="74"/>
      <c r="BA29" s="74"/>
      <c r="BB29" s="103"/>
      <c r="BC29" s="154"/>
      <c r="BD29" s="26"/>
      <c r="BF29" s="154"/>
      <c r="BG29" s="26"/>
      <c r="BI29" s="23"/>
      <c r="BJ29" s="24"/>
      <c r="BK29" s="103"/>
      <c r="BL29" s="162"/>
      <c r="BM29" s="209"/>
      <c r="BN29" s="26"/>
      <c r="BO29" s="1"/>
      <c r="BP29" s="1"/>
      <c r="BQ29" s="1"/>
    </row>
    <row r="30" spans="1:69" s="6" customFormat="1" ht="50.15" customHeight="1" thickBot="1" x14ac:dyDescent="0.4">
      <c r="B30" s="205" t="s">
        <v>55</v>
      </c>
      <c r="C30" s="206"/>
      <c r="D30" s="206"/>
      <c r="E30" s="207"/>
      <c r="F30" s="14"/>
      <c r="G30" s="34" t="s">
        <v>19</v>
      </c>
      <c r="H30" s="22"/>
      <c r="J30" s="34" t="s">
        <v>62</v>
      </c>
      <c r="K30" s="22"/>
      <c r="M30" s="34"/>
      <c r="N30" s="22"/>
      <c r="O30" s="5"/>
      <c r="P30" s="5"/>
      <c r="Q30" s="5"/>
      <c r="R30" s="74"/>
      <c r="S30" s="74"/>
      <c r="T30" s="74"/>
      <c r="U30" s="74"/>
      <c r="V30" s="74"/>
      <c r="W30" s="74"/>
      <c r="X30" s="74"/>
      <c r="Y30" s="34" t="s">
        <v>19</v>
      </c>
      <c r="Z30" s="22"/>
      <c r="AA30" s="10"/>
      <c r="AB30" s="34"/>
      <c r="AC30" s="22"/>
      <c r="AD30" s="1"/>
      <c r="AE30" s="34"/>
      <c r="AF30" s="22"/>
      <c r="AG30" s="1"/>
      <c r="AH30" s="34"/>
      <c r="AI30" s="22"/>
      <c r="AJ30" s="1"/>
      <c r="AK30" s="200"/>
      <c r="AL30" s="22"/>
      <c r="AN30" s="34"/>
      <c r="AO30" s="22"/>
      <c r="AQ30" s="50"/>
      <c r="AR30" s="50"/>
      <c r="AS30" s="74"/>
      <c r="AT30" s="74"/>
      <c r="AU30" s="74"/>
      <c r="AV30" s="74"/>
      <c r="AW30" s="74"/>
      <c r="AX30" s="74"/>
      <c r="AY30" s="74"/>
      <c r="AZ30" s="74"/>
      <c r="BA30" s="74"/>
      <c r="BB30" s="103"/>
      <c r="BC30" s="200"/>
      <c r="BD30" s="22"/>
      <c r="BF30" s="200"/>
      <c r="BG30" s="22"/>
      <c r="BI30" s="21"/>
      <c r="BJ30" s="22"/>
      <c r="BK30" s="103"/>
      <c r="BL30" s="169"/>
      <c r="BM30" s="210"/>
      <c r="BN30" s="41"/>
      <c r="BO30" s="1"/>
      <c r="BP30" s="1"/>
      <c r="BQ30" s="1"/>
    </row>
    <row r="31" spans="1:69" s="6" customFormat="1" ht="19.899999999999999" customHeight="1" thickBot="1" x14ac:dyDescent="0.4">
      <c r="B31" s="60"/>
      <c r="C31" s="60"/>
      <c r="D31" s="60"/>
      <c r="E31" s="62"/>
      <c r="F31" s="14"/>
      <c r="M31" s="51"/>
      <c r="N31" s="50"/>
      <c r="O31" s="5"/>
      <c r="P31" s="5"/>
      <c r="Q31" s="5"/>
      <c r="R31" s="74"/>
      <c r="S31" s="74"/>
      <c r="T31" s="74"/>
      <c r="U31" s="74"/>
      <c r="Y31" s="5"/>
      <c r="AA31" s="10"/>
      <c r="AD31" s="1"/>
      <c r="AE31" s="1"/>
      <c r="AF31" s="1"/>
      <c r="AG31" s="1"/>
      <c r="AH31" s="1"/>
      <c r="AI31" s="1"/>
      <c r="AJ31" s="1"/>
      <c r="AK31" s="51"/>
      <c r="AL31" s="50"/>
      <c r="AQ31" s="50"/>
      <c r="AR31" s="50"/>
      <c r="AT31" s="50"/>
      <c r="AU31" s="50"/>
      <c r="AW31" s="74"/>
      <c r="AX31" s="74"/>
      <c r="AY31" s="74"/>
      <c r="AZ31" s="74"/>
      <c r="BA31" s="74"/>
      <c r="BB31" s="103"/>
      <c r="BC31" s="50"/>
      <c r="BD31" s="50"/>
      <c r="BF31" s="50"/>
      <c r="BG31" s="50"/>
      <c r="BI31" s="50"/>
      <c r="BJ31" s="50"/>
      <c r="BK31" s="103"/>
      <c r="BL31" s="63"/>
      <c r="BM31" s="27"/>
      <c r="BN31" s="27"/>
      <c r="BO31" s="1"/>
      <c r="BP31" s="1"/>
      <c r="BQ31" s="1"/>
    </row>
    <row r="32" spans="1:69" ht="18.649999999999999" customHeight="1" thickBot="1" x14ac:dyDescent="0.4">
      <c r="B32" s="123" t="s">
        <v>25</v>
      </c>
      <c r="C32" s="136"/>
      <c r="D32" s="136"/>
      <c r="E32" s="124"/>
      <c r="F32" s="74"/>
      <c r="G32" s="123" t="s">
        <v>25</v>
      </c>
      <c r="H32" s="124"/>
      <c r="I32" s="74"/>
      <c r="J32" s="123" t="s">
        <v>25</v>
      </c>
      <c r="K32" s="124"/>
      <c r="L32" s="74"/>
      <c r="M32" s="123" t="s">
        <v>25</v>
      </c>
      <c r="N32" s="124"/>
      <c r="O32" s="74"/>
      <c r="P32" s="74"/>
      <c r="Q32" s="74"/>
      <c r="R32" s="74"/>
      <c r="S32" s="74"/>
      <c r="T32" s="74"/>
      <c r="U32" s="74"/>
      <c r="V32" s="74"/>
      <c r="W32" s="74"/>
      <c r="X32" s="74"/>
      <c r="Y32" s="123" t="s">
        <v>25</v>
      </c>
      <c r="Z32" s="136"/>
      <c r="AA32" s="136"/>
      <c r="AB32" s="136"/>
      <c r="AC32" s="124"/>
      <c r="AE32" s="123" t="s">
        <v>25</v>
      </c>
      <c r="AF32" s="136"/>
      <c r="AG32" s="136"/>
      <c r="AH32" s="136"/>
      <c r="AI32" s="124"/>
      <c r="AK32" s="123" t="s">
        <v>25</v>
      </c>
      <c r="AL32" s="124"/>
      <c r="AT32" s="123" t="s">
        <v>25</v>
      </c>
      <c r="AU32" s="124"/>
      <c r="AV32" s="74"/>
      <c r="AW32" s="74"/>
      <c r="AX32" s="74"/>
      <c r="AY32" s="74"/>
      <c r="AZ32" s="74"/>
      <c r="BA32" s="74"/>
      <c r="BB32" s="74"/>
      <c r="BC32" s="123" t="s">
        <v>25</v>
      </c>
      <c r="BD32" s="124"/>
      <c r="BE32" s="74"/>
      <c r="BF32" s="123" t="s">
        <v>25</v>
      </c>
      <c r="BG32" s="124"/>
      <c r="BH32" s="74"/>
      <c r="BI32" s="74"/>
      <c r="BJ32" s="74"/>
      <c r="BK32" s="103"/>
      <c r="BL32" s="123" t="s">
        <v>25</v>
      </c>
      <c r="BM32" s="124"/>
      <c r="BN32" s="74"/>
    </row>
    <row r="33" spans="2:65" ht="16.149999999999999" customHeight="1" thickTop="1" x14ac:dyDescent="0.35">
      <c r="B33" s="212" t="s">
        <v>26</v>
      </c>
      <c r="C33" s="213"/>
      <c r="D33" s="213"/>
      <c r="E33" s="214"/>
      <c r="F33" s="80"/>
      <c r="G33" s="168" t="s">
        <v>49</v>
      </c>
      <c r="H33" s="143" t="s">
        <v>98</v>
      </c>
      <c r="J33" s="168" t="s">
        <v>96</v>
      </c>
      <c r="K33" s="143" t="s">
        <v>97</v>
      </c>
      <c r="M33" s="220" t="s">
        <v>50</v>
      </c>
      <c r="N33" s="221" t="s">
        <v>99</v>
      </c>
      <c r="O33" s="74"/>
      <c r="P33" s="74"/>
      <c r="Q33" s="74"/>
      <c r="R33" s="74"/>
      <c r="S33" s="74"/>
      <c r="T33" s="74"/>
      <c r="U33" s="74"/>
      <c r="V33" s="74"/>
      <c r="W33" s="74"/>
      <c r="X33" s="74"/>
      <c r="Y33" s="137" t="s">
        <v>51</v>
      </c>
      <c r="Z33" s="138"/>
      <c r="AA33" s="138"/>
      <c r="AB33" s="138"/>
      <c r="AC33" s="134" t="s">
        <v>100</v>
      </c>
      <c r="AE33" s="141" t="s">
        <v>101</v>
      </c>
      <c r="AF33" s="142"/>
      <c r="AG33" s="142"/>
      <c r="AH33" s="143"/>
      <c r="AI33" s="144" t="s">
        <v>102</v>
      </c>
      <c r="AK33" s="71"/>
      <c r="AL33" s="125">
        <v>76</v>
      </c>
      <c r="AT33" s="71"/>
      <c r="AU33" s="125">
        <v>107</v>
      </c>
      <c r="BC33" s="71"/>
      <c r="BD33" s="125">
        <v>5</v>
      </c>
      <c r="BF33" s="71"/>
      <c r="BG33" s="222">
        <v>2145</v>
      </c>
      <c r="BL33" s="71"/>
      <c r="BM33" s="125">
        <v>73</v>
      </c>
    </row>
    <row r="34" spans="2:65" ht="16.149999999999999" customHeight="1" x14ac:dyDescent="0.35">
      <c r="B34" s="67">
        <v>4</v>
      </c>
      <c r="C34" s="70">
        <v>4</v>
      </c>
      <c r="D34" s="70">
        <v>4</v>
      </c>
      <c r="E34" s="68">
        <v>4</v>
      </c>
      <c r="F34" s="74"/>
      <c r="G34" s="162"/>
      <c r="H34" s="134"/>
      <c r="J34" s="162"/>
      <c r="K34" s="134"/>
      <c r="M34" s="162"/>
      <c r="N34" s="134"/>
      <c r="O34" s="74"/>
      <c r="P34" s="74"/>
      <c r="Q34" s="74"/>
      <c r="R34" s="74"/>
      <c r="S34" s="74"/>
      <c r="T34" s="74"/>
      <c r="U34" s="74"/>
      <c r="V34" s="74"/>
      <c r="W34" s="74"/>
      <c r="X34" s="74"/>
      <c r="Y34" s="137"/>
      <c r="Z34" s="138"/>
      <c r="AA34" s="138"/>
      <c r="AB34" s="138"/>
      <c r="AC34" s="134"/>
      <c r="AE34" s="137"/>
      <c r="AF34" s="138"/>
      <c r="AG34" s="138"/>
      <c r="AH34" s="134"/>
      <c r="AI34" s="145"/>
      <c r="AK34" s="72"/>
      <c r="AL34" s="126"/>
      <c r="AT34" s="72"/>
      <c r="AU34" s="126"/>
      <c r="BC34" s="72"/>
      <c r="BD34" s="126"/>
      <c r="BF34" s="72"/>
      <c r="BG34" s="126"/>
      <c r="BL34" s="72"/>
      <c r="BM34" s="126"/>
    </row>
    <row r="35" spans="2:65" ht="7.9" customHeight="1" x14ac:dyDescent="0.35">
      <c r="B35" s="67"/>
      <c r="E35" s="68"/>
      <c r="G35" s="162"/>
      <c r="H35" s="134"/>
      <c r="J35" s="162"/>
      <c r="K35" s="134"/>
      <c r="M35" s="162"/>
      <c r="N35" s="134"/>
      <c r="O35" s="74"/>
      <c r="P35" s="74"/>
      <c r="Q35" s="74"/>
      <c r="R35" s="74"/>
      <c r="S35" s="74"/>
      <c r="T35" s="74"/>
      <c r="U35" s="74"/>
      <c r="V35" s="74"/>
      <c r="W35" s="74"/>
      <c r="X35" s="74"/>
      <c r="Y35" s="137"/>
      <c r="Z35" s="138"/>
      <c r="AA35" s="138"/>
      <c r="AB35" s="138"/>
      <c r="AC35" s="134"/>
      <c r="AE35" s="137"/>
      <c r="AF35" s="138"/>
      <c r="AG35" s="138"/>
      <c r="AH35" s="134"/>
      <c r="AI35" s="145"/>
      <c r="AK35" s="72"/>
      <c r="AL35" s="126"/>
      <c r="AT35" s="72"/>
      <c r="AU35" s="126"/>
      <c r="BC35" s="72"/>
      <c r="BD35" s="126"/>
      <c r="BF35" s="72"/>
      <c r="BG35" s="126"/>
      <c r="BL35" s="72"/>
      <c r="BM35" s="126"/>
    </row>
    <row r="36" spans="2:65" ht="16.149999999999999" customHeight="1" x14ac:dyDescent="0.35">
      <c r="B36" s="215" t="s">
        <v>27</v>
      </c>
      <c r="C36" s="216"/>
      <c r="D36" s="216"/>
      <c r="E36" s="217"/>
      <c r="F36" s="80"/>
      <c r="G36" s="162"/>
      <c r="H36" s="134"/>
      <c r="J36" s="162"/>
      <c r="K36" s="134"/>
      <c r="M36" s="162"/>
      <c r="N36" s="134"/>
      <c r="O36" s="74"/>
      <c r="P36" s="74"/>
      <c r="Q36" s="74"/>
      <c r="R36" s="74"/>
      <c r="S36" s="74"/>
      <c r="T36" s="74"/>
      <c r="U36" s="74"/>
      <c r="V36" s="74"/>
      <c r="W36" s="74"/>
      <c r="X36" s="74"/>
      <c r="Y36" s="137"/>
      <c r="Z36" s="138"/>
      <c r="AA36" s="138"/>
      <c r="AB36" s="138"/>
      <c r="AC36" s="134"/>
      <c r="AE36" s="137"/>
      <c r="AF36" s="138"/>
      <c r="AG36" s="138"/>
      <c r="AH36" s="134"/>
      <c r="AI36" s="145"/>
      <c r="AK36" s="72"/>
      <c r="AL36" s="126"/>
      <c r="AT36" s="72"/>
      <c r="AU36" s="68"/>
      <c r="BC36" s="72"/>
      <c r="BD36" s="126"/>
      <c r="BF36" s="72"/>
      <c r="BG36" s="126"/>
      <c r="BL36" s="72"/>
      <c r="BM36" s="126"/>
    </row>
    <row r="37" spans="2:65" ht="16.149999999999999" customHeight="1" x14ac:dyDescent="0.35">
      <c r="B37" s="67">
        <v>8</v>
      </c>
      <c r="C37" s="70">
        <v>8</v>
      </c>
      <c r="D37" s="70">
        <v>8</v>
      </c>
      <c r="E37" s="68">
        <v>8</v>
      </c>
      <c r="G37" s="162"/>
      <c r="H37" s="134"/>
      <c r="J37" s="162"/>
      <c r="K37" s="134"/>
      <c r="M37" s="162"/>
      <c r="N37" s="134"/>
      <c r="O37" s="74"/>
      <c r="P37" s="74"/>
      <c r="Q37" s="74"/>
      <c r="R37" s="74"/>
      <c r="S37" s="74"/>
      <c r="T37" s="74"/>
      <c r="U37" s="74"/>
      <c r="V37" s="74"/>
      <c r="W37" s="74"/>
      <c r="X37" s="74"/>
      <c r="Y37" s="137"/>
      <c r="Z37" s="138"/>
      <c r="AA37" s="138"/>
      <c r="AB37" s="138"/>
      <c r="AC37" s="134"/>
      <c r="AE37" s="137"/>
      <c r="AF37" s="138"/>
      <c r="AG37" s="138"/>
      <c r="AH37" s="134"/>
      <c r="AI37" s="145"/>
      <c r="AK37" s="72"/>
      <c r="AL37" s="68"/>
      <c r="AT37" s="72"/>
      <c r="AU37" s="68"/>
      <c r="BC37" s="72"/>
      <c r="BD37" s="68"/>
      <c r="BF37" s="72"/>
      <c r="BG37" s="126"/>
      <c r="BL37" s="72"/>
      <c r="BM37" s="68"/>
    </row>
    <row r="38" spans="2:65" ht="7.9" customHeight="1" x14ac:dyDescent="0.35">
      <c r="B38" s="67"/>
      <c r="E38" s="68"/>
      <c r="G38" s="162"/>
      <c r="H38" s="134"/>
      <c r="J38" s="162"/>
      <c r="K38" s="134"/>
      <c r="M38" s="162"/>
      <c r="N38" s="134"/>
      <c r="O38" s="74"/>
      <c r="P38" s="74"/>
      <c r="Q38" s="74"/>
      <c r="R38" s="74"/>
      <c r="S38" s="74"/>
      <c r="T38" s="74"/>
      <c r="U38" s="74"/>
      <c r="V38" s="74"/>
      <c r="W38" s="74"/>
      <c r="X38" s="74"/>
      <c r="Y38" s="137"/>
      <c r="Z38" s="138"/>
      <c r="AA38" s="138"/>
      <c r="AB38" s="138"/>
      <c r="AC38" s="134"/>
      <c r="AE38" s="137"/>
      <c r="AF38" s="138"/>
      <c r="AG38" s="138"/>
      <c r="AH38" s="134"/>
      <c r="AI38" s="145"/>
      <c r="AK38" s="72"/>
      <c r="AL38" s="126">
        <v>5</v>
      </c>
      <c r="AT38" s="72"/>
      <c r="AU38" s="68"/>
      <c r="BC38" s="72"/>
      <c r="BD38" s="68"/>
      <c r="BF38" s="72"/>
      <c r="BG38" s="126"/>
      <c r="BL38" s="72"/>
      <c r="BM38" s="68"/>
    </row>
    <row r="39" spans="2:65" ht="16.149999999999999" customHeight="1" x14ac:dyDescent="0.35">
      <c r="B39" s="215" t="s">
        <v>29</v>
      </c>
      <c r="C39" s="216"/>
      <c r="D39" s="216"/>
      <c r="E39" s="217"/>
      <c r="F39" s="80"/>
      <c r="G39" s="162"/>
      <c r="H39" s="134"/>
      <c r="J39" s="162"/>
      <c r="K39" s="134"/>
      <c r="M39" s="162"/>
      <c r="N39" s="134"/>
      <c r="O39" s="74"/>
      <c r="P39" s="74"/>
      <c r="Q39" s="74"/>
      <c r="R39" s="74"/>
      <c r="S39" s="74"/>
      <c r="T39" s="74"/>
      <c r="U39" s="74"/>
      <c r="V39" s="74"/>
      <c r="W39" s="74"/>
      <c r="X39" s="74"/>
      <c r="Y39" s="137"/>
      <c r="Z39" s="138"/>
      <c r="AA39" s="138"/>
      <c r="AB39" s="138"/>
      <c r="AC39" s="134"/>
      <c r="AE39" s="137"/>
      <c r="AF39" s="138"/>
      <c r="AG39" s="138"/>
      <c r="AH39" s="134"/>
      <c r="AI39" s="145"/>
      <c r="AK39" s="72"/>
      <c r="AL39" s="126"/>
      <c r="AT39" s="72"/>
      <c r="AU39" s="68"/>
      <c r="BB39"/>
      <c r="BC39" s="72"/>
      <c r="BD39" s="68"/>
      <c r="BF39" s="72"/>
      <c r="BG39" s="126"/>
      <c r="BL39" s="72"/>
      <c r="BM39" s="68"/>
    </row>
    <row r="40" spans="2:65" ht="16.149999999999999" customHeight="1" thickBot="1" x14ac:dyDescent="0.4">
      <c r="B40" s="111">
        <v>10.5</v>
      </c>
      <c r="C40" s="112">
        <v>10.5</v>
      </c>
      <c r="D40" s="112">
        <v>10.5</v>
      </c>
      <c r="E40" s="113">
        <v>10.5</v>
      </c>
      <c r="G40" s="162"/>
      <c r="H40" s="134"/>
      <c r="J40" s="162"/>
      <c r="K40" s="134"/>
      <c r="M40" s="162"/>
      <c r="N40" s="134"/>
      <c r="O40" s="74"/>
      <c r="P40" s="74"/>
      <c r="Q40" s="74"/>
      <c r="R40" s="74"/>
      <c r="S40" s="74"/>
      <c r="T40" s="74"/>
      <c r="U40" s="74"/>
      <c r="V40" s="74"/>
      <c r="W40" s="74"/>
      <c r="X40" s="74"/>
      <c r="Y40" s="137"/>
      <c r="Z40" s="138"/>
      <c r="AA40" s="138"/>
      <c r="AB40" s="138"/>
      <c r="AC40" s="134"/>
      <c r="AE40" s="137"/>
      <c r="AF40" s="138"/>
      <c r="AG40" s="138"/>
      <c r="AH40" s="134"/>
      <c r="AI40" s="145"/>
      <c r="AK40" s="72"/>
      <c r="AL40" s="126"/>
      <c r="AT40" s="72"/>
      <c r="AU40" s="68"/>
      <c r="BC40" s="72"/>
      <c r="BD40" s="68"/>
      <c r="BF40" s="72"/>
      <c r="BG40" s="68"/>
      <c r="BL40" s="72"/>
      <c r="BM40" s="68"/>
    </row>
    <row r="41" spans="2:65" ht="7.9" customHeight="1" x14ac:dyDescent="0.35">
      <c r="B41" s="67"/>
      <c r="E41" s="68"/>
      <c r="G41" s="162"/>
      <c r="H41" s="134"/>
      <c r="J41" s="162"/>
      <c r="K41" s="134"/>
      <c r="M41" s="162"/>
      <c r="N41" s="134"/>
      <c r="O41" s="74"/>
      <c r="P41" s="74"/>
      <c r="Q41" s="74"/>
      <c r="R41" s="74"/>
      <c r="S41" s="74"/>
      <c r="T41" s="74"/>
      <c r="U41" s="74"/>
      <c r="V41" s="74"/>
      <c r="W41" s="74"/>
      <c r="X41" s="74"/>
      <c r="Y41" s="137"/>
      <c r="Z41" s="138"/>
      <c r="AA41" s="138"/>
      <c r="AB41" s="138"/>
      <c r="AC41" s="134"/>
      <c r="AE41" s="137"/>
      <c r="AF41" s="138"/>
      <c r="AG41" s="138"/>
      <c r="AH41" s="134"/>
      <c r="AI41" s="144" t="s">
        <v>103</v>
      </c>
      <c r="AK41" s="72"/>
      <c r="AL41" s="126"/>
      <c r="AT41" s="72"/>
      <c r="AU41" s="68"/>
      <c r="BC41" s="72"/>
      <c r="BD41" s="68"/>
      <c r="BF41" s="72"/>
      <c r="BG41" s="68"/>
      <c r="BL41" s="72"/>
      <c r="BM41" s="68"/>
    </row>
    <row r="42" spans="2:65" ht="16.149999999999999" customHeight="1" x14ac:dyDescent="0.35">
      <c r="B42" s="215" t="s">
        <v>28</v>
      </c>
      <c r="C42" s="216"/>
      <c r="D42" s="216"/>
      <c r="E42" s="217"/>
      <c r="F42" s="80"/>
      <c r="G42" s="162"/>
      <c r="H42" s="134"/>
      <c r="J42" s="162"/>
      <c r="K42" s="134"/>
      <c r="M42" s="162"/>
      <c r="N42" s="134"/>
      <c r="O42" s="74"/>
      <c r="P42" s="74"/>
      <c r="Q42" s="74"/>
      <c r="R42" s="74"/>
      <c r="S42" s="74"/>
      <c r="T42" s="74"/>
      <c r="U42" s="74"/>
      <c r="V42" s="74"/>
      <c r="W42" s="74"/>
      <c r="X42" s="74"/>
      <c r="Y42" s="137"/>
      <c r="Z42" s="138"/>
      <c r="AA42" s="138"/>
      <c r="AB42" s="138"/>
      <c r="AC42" s="134"/>
      <c r="AE42" s="137"/>
      <c r="AF42" s="138"/>
      <c r="AG42" s="138"/>
      <c r="AH42" s="134"/>
      <c r="AI42" s="145"/>
      <c r="AK42" s="72"/>
      <c r="AL42" s="68"/>
      <c r="AT42" s="72"/>
      <c r="AU42" s="68"/>
      <c r="BC42" s="72"/>
      <c r="BD42" s="68"/>
      <c r="BF42" s="72"/>
      <c r="BG42" s="68"/>
      <c r="BL42" s="72"/>
      <c r="BM42" s="68"/>
    </row>
    <row r="43" spans="2:65" ht="16.149999999999999" customHeight="1" thickBot="1" x14ac:dyDescent="0.4">
      <c r="B43" s="67">
        <v>1</v>
      </c>
      <c r="C43" s="70">
        <v>1</v>
      </c>
      <c r="D43" s="70">
        <v>1</v>
      </c>
      <c r="E43" s="68">
        <v>1</v>
      </c>
      <c r="G43" s="162"/>
      <c r="H43" s="134"/>
      <c r="J43" s="162"/>
      <c r="K43" s="134"/>
      <c r="M43" s="162"/>
      <c r="N43" s="134"/>
      <c r="O43" s="74"/>
      <c r="P43" s="74"/>
      <c r="Q43" s="74"/>
      <c r="R43" s="74"/>
      <c r="S43" s="74"/>
      <c r="T43" s="74"/>
      <c r="U43" s="74"/>
      <c r="V43" s="74"/>
      <c r="W43" s="74"/>
      <c r="X43" s="74"/>
      <c r="Y43" s="137"/>
      <c r="Z43" s="138"/>
      <c r="AA43" s="138"/>
      <c r="AB43" s="138"/>
      <c r="AC43" s="134"/>
      <c r="AE43" s="137"/>
      <c r="AF43" s="138"/>
      <c r="AG43" s="138"/>
      <c r="AH43" s="134"/>
      <c r="AI43" s="145"/>
      <c r="AK43" s="72"/>
      <c r="AL43" s="68"/>
      <c r="AT43" s="72"/>
      <c r="AU43" s="68"/>
      <c r="BC43" s="73"/>
      <c r="BD43" s="69"/>
      <c r="BF43" s="73"/>
      <c r="BG43" s="69"/>
      <c r="BL43" s="72"/>
      <c r="BM43" s="68"/>
    </row>
    <row r="44" spans="2:65" ht="10.9" customHeight="1" thickBot="1" x14ac:dyDescent="0.4">
      <c r="B44" s="67"/>
      <c r="E44" s="68"/>
      <c r="G44" s="162"/>
      <c r="H44" s="134"/>
      <c r="J44" s="169"/>
      <c r="K44" s="135"/>
      <c r="M44" s="162"/>
      <c r="N44" s="134"/>
      <c r="O44" s="74"/>
      <c r="P44" s="74"/>
      <c r="Q44" s="74"/>
      <c r="R44" s="74"/>
      <c r="S44" s="74"/>
      <c r="T44" s="74"/>
      <c r="U44" s="74"/>
      <c r="V44" s="74"/>
      <c r="W44" s="74"/>
      <c r="X44" s="74"/>
      <c r="Y44" s="137"/>
      <c r="Z44" s="138"/>
      <c r="AA44" s="138"/>
      <c r="AB44" s="138"/>
      <c r="AC44" s="134"/>
      <c r="AE44" s="137"/>
      <c r="AF44" s="138"/>
      <c r="AG44" s="138"/>
      <c r="AH44" s="134"/>
      <c r="AI44" s="145"/>
      <c r="AK44" s="66"/>
      <c r="AL44" s="66"/>
      <c r="AT44" s="66"/>
      <c r="AU44" s="66"/>
      <c r="BL44" s="66"/>
      <c r="BM44" s="66"/>
    </row>
    <row r="45" spans="2:65" ht="15.65" customHeight="1" thickBot="1" x14ac:dyDescent="0.4">
      <c r="B45" s="215" t="s">
        <v>30</v>
      </c>
      <c r="C45" s="216"/>
      <c r="D45" s="216"/>
      <c r="E45" s="217"/>
      <c r="F45" s="80"/>
      <c r="G45" s="79"/>
      <c r="H45" s="142"/>
      <c r="M45" s="169"/>
      <c r="N45" s="135"/>
      <c r="O45" s="74"/>
      <c r="P45" s="74"/>
      <c r="Q45" s="74"/>
      <c r="R45" s="74"/>
      <c r="S45" s="74"/>
      <c r="T45" s="74"/>
      <c r="U45" s="74"/>
      <c r="V45" s="74"/>
      <c r="W45" s="74"/>
      <c r="X45" s="74"/>
      <c r="Y45" s="137"/>
      <c r="Z45" s="138"/>
      <c r="AA45" s="138"/>
      <c r="AB45" s="138"/>
      <c r="AC45" s="134"/>
      <c r="AE45" s="137"/>
      <c r="AF45" s="138"/>
      <c r="AG45" s="138"/>
      <c r="AH45" s="134"/>
      <c r="AI45" s="145"/>
    </row>
    <row r="46" spans="2:65" ht="19.149999999999999" customHeight="1" thickBot="1" x14ac:dyDescent="0.4">
      <c r="B46" s="75">
        <v>1</v>
      </c>
      <c r="C46" s="76">
        <v>1</v>
      </c>
      <c r="D46" s="76">
        <v>1</v>
      </c>
      <c r="E46" s="77">
        <v>1</v>
      </c>
      <c r="G46" s="51"/>
      <c r="H46" s="138"/>
      <c r="O46" s="74"/>
      <c r="P46" s="74"/>
      <c r="Q46" s="74"/>
      <c r="R46" s="74"/>
      <c r="S46" s="74"/>
      <c r="T46" s="74"/>
      <c r="U46" s="74"/>
      <c r="V46" s="74"/>
      <c r="W46" s="74"/>
      <c r="X46" s="74"/>
      <c r="Y46" s="137"/>
      <c r="Z46" s="138"/>
      <c r="AA46" s="138"/>
      <c r="AB46" s="138"/>
      <c r="AC46" s="134"/>
      <c r="AE46" s="137"/>
      <c r="AF46" s="138"/>
      <c r="AG46" s="138"/>
      <c r="AH46" s="134"/>
      <c r="AI46" s="145"/>
    </row>
    <row r="47" spans="2:65" ht="19.899999999999999" customHeight="1" thickBot="1" x14ac:dyDescent="0.4">
      <c r="B47" s="114">
        <f>B46+B43+B40+B37+B34</f>
        <v>24.5</v>
      </c>
      <c r="C47" s="114">
        <f>C46+C43+C40+C37+C34</f>
        <v>24.5</v>
      </c>
      <c r="D47" s="114">
        <f>D46+D43+D40+D37+D34</f>
        <v>24.5</v>
      </c>
      <c r="E47" s="114">
        <f>E46+E43+E40+E37+E34</f>
        <v>24.5</v>
      </c>
      <c r="F47" s="10"/>
      <c r="G47" s="51"/>
      <c r="H47" s="138"/>
      <c r="O47" s="74"/>
      <c r="P47" s="74"/>
      <c r="Q47" s="74"/>
      <c r="R47" s="74"/>
      <c r="S47" s="74"/>
      <c r="T47" s="74"/>
      <c r="U47" s="74"/>
      <c r="V47" s="74"/>
      <c r="W47" s="74"/>
      <c r="X47" s="74"/>
      <c r="Y47" s="137"/>
      <c r="Z47" s="138"/>
      <c r="AA47" s="138"/>
      <c r="AB47" s="138"/>
      <c r="AC47" s="134"/>
      <c r="AE47" s="139"/>
      <c r="AF47" s="140"/>
      <c r="AG47" s="140"/>
      <c r="AH47" s="135"/>
      <c r="AI47" s="145"/>
    </row>
    <row r="48" spans="2:65" ht="12" customHeight="1" thickBot="1" x14ac:dyDescent="0.4">
      <c r="G48" s="51"/>
      <c r="H48" s="138"/>
      <c r="O48" s="74"/>
      <c r="P48" s="74"/>
      <c r="Q48" s="74"/>
      <c r="R48" s="74"/>
      <c r="S48" s="74"/>
      <c r="T48" s="74"/>
      <c r="U48" s="74"/>
      <c r="V48" s="74"/>
      <c r="W48" s="74"/>
      <c r="X48" s="74"/>
      <c r="Y48" s="137"/>
      <c r="Z48" s="138"/>
      <c r="AA48" s="138"/>
      <c r="AB48" s="138"/>
      <c r="AC48" s="134"/>
      <c r="AE48" s="141" t="s">
        <v>33</v>
      </c>
      <c r="AF48" s="142"/>
      <c r="AG48" s="142"/>
      <c r="AH48" s="142"/>
      <c r="AI48" s="143" t="s">
        <v>32</v>
      </c>
    </row>
    <row r="49" spans="2:35" ht="18" customHeight="1" thickBot="1" x14ac:dyDescent="0.4">
      <c r="B49" s="123" t="s">
        <v>31</v>
      </c>
      <c r="C49" s="136"/>
      <c r="D49" s="136"/>
      <c r="E49" s="136"/>
      <c r="F49" s="136"/>
      <c r="G49" s="146">
        <v>23</v>
      </c>
      <c r="H49" s="138"/>
      <c r="O49" s="74"/>
      <c r="P49" s="74"/>
      <c r="Q49" s="74"/>
      <c r="R49" s="74"/>
      <c r="S49" s="74"/>
      <c r="T49" s="74"/>
      <c r="U49" s="74"/>
      <c r="V49" s="74"/>
      <c r="W49" s="74"/>
      <c r="X49" s="74"/>
      <c r="Y49" s="137"/>
      <c r="Z49" s="138"/>
      <c r="AA49" s="138"/>
      <c r="AB49" s="138"/>
      <c r="AC49" s="134"/>
      <c r="AE49" s="137"/>
      <c r="AF49" s="138"/>
      <c r="AG49" s="138"/>
      <c r="AH49" s="138"/>
      <c r="AI49" s="134"/>
    </row>
    <row r="50" spans="2:35" ht="12" customHeight="1" thickBot="1" x14ac:dyDescent="0.4">
      <c r="B50" s="116"/>
      <c r="C50" s="218" t="s">
        <v>93</v>
      </c>
      <c r="D50" s="218"/>
      <c r="E50" s="218"/>
      <c r="F50" s="219"/>
      <c r="G50" s="147"/>
      <c r="H50" s="138"/>
      <c r="M50" s="51"/>
      <c r="N50" s="51"/>
      <c r="P50" s="74"/>
      <c r="Q50" s="74"/>
      <c r="R50" s="51"/>
      <c r="S50" s="51"/>
      <c r="T50" s="51"/>
      <c r="U50" s="51"/>
      <c r="V50" s="51"/>
      <c r="W50" s="51"/>
      <c r="X50" s="51"/>
      <c r="Y50" s="139"/>
      <c r="Z50" s="140"/>
      <c r="AA50" s="140"/>
      <c r="AB50" s="140"/>
      <c r="AC50" s="135"/>
      <c r="AE50" s="137"/>
      <c r="AF50" s="138"/>
      <c r="AG50" s="138"/>
      <c r="AH50" s="138"/>
      <c r="AI50" s="134"/>
    </row>
    <row r="51" spans="2:35" ht="12" customHeight="1" x14ac:dyDescent="0.35">
      <c r="B51" s="67"/>
      <c r="C51" s="164"/>
      <c r="D51" s="164"/>
      <c r="E51" s="164"/>
      <c r="F51" s="165"/>
      <c r="G51" s="147"/>
      <c r="H51" s="138"/>
      <c r="M51" s="51"/>
      <c r="N51" s="51"/>
      <c r="P51" s="51"/>
      <c r="Q51" s="51"/>
      <c r="R51" s="51"/>
      <c r="S51" s="51"/>
      <c r="T51" s="51"/>
      <c r="U51" s="51"/>
      <c r="V51" s="51"/>
      <c r="W51" s="51"/>
      <c r="X51" s="51"/>
      <c r="AA51" s="10"/>
      <c r="AE51" s="137"/>
      <c r="AF51" s="138"/>
      <c r="AG51" s="138"/>
      <c r="AH51" s="138"/>
      <c r="AI51" s="134"/>
    </row>
    <row r="52" spans="2:35" ht="12" customHeight="1" x14ac:dyDescent="0.35">
      <c r="B52" s="67"/>
      <c r="C52" s="164" t="s">
        <v>92</v>
      </c>
      <c r="D52" s="164"/>
      <c r="E52" s="164"/>
      <c r="F52" s="165"/>
      <c r="G52" s="147"/>
      <c r="H52" s="138"/>
      <c r="M52" s="51"/>
      <c r="N52" s="51"/>
      <c r="P52" s="51"/>
      <c r="Q52" s="51"/>
      <c r="R52" s="51"/>
      <c r="S52" s="51"/>
      <c r="T52" s="51"/>
      <c r="U52" s="51"/>
      <c r="V52" s="51"/>
      <c r="W52" s="51"/>
      <c r="X52" s="51"/>
      <c r="AE52" s="137"/>
      <c r="AF52" s="138"/>
      <c r="AG52" s="138"/>
      <c r="AH52" s="138"/>
      <c r="AI52" s="134"/>
    </row>
    <row r="53" spans="2:35" ht="12" customHeight="1" thickBot="1" x14ac:dyDescent="0.4">
      <c r="B53" s="67"/>
      <c r="C53" s="164"/>
      <c r="D53" s="164"/>
      <c r="E53" s="164"/>
      <c r="F53" s="165"/>
      <c r="G53" s="147"/>
      <c r="H53" s="138"/>
      <c r="M53" s="51"/>
      <c r="N53" s="51"/>
      <c r="AE53" s="139"/>
      <c r="AF53" s="140"/>
      <c r="AG53" s="140"/>
      <c r="AH53" s="140"/>
      <c r="AI53" s="135"/>
    </row>
    <row r="54" spans="2:35" ht="12" customHeight="1" x14ac:dyDescent="0.35">
      <c r="B54" s="67"/>
      <c r="C54" s="164" t="s">
        <v>95</v>
      </c>
      <c r="D54" s="164"/>
      <c r="E54" s="164"/>
      <c r="F54" s="165"/>
      <c r="G54" s="147"/>
      <c r="H54" s="138"/>
    </row>
    <row r="55" spans="2:35" ht="12" customHeight="1" x14ac:dyDescent="0.35">
      <c r="B55" s="67"/>
      <c r="C55" s="164"/>
      <c r="D55" s="164"/>
      <c r="E55" s="164"/>
      <c r="F55" s="165"/>
      <c r="G55" s="147"/>
      <c r="H55" s="138"/>
    </row>
    <row r="56" spans="2:35" ht="12" customHeight="1" x14ac:dyDescent="0.35">
      <c r="B56" s="67"/>
      <c r="C56" s="164"/>
      <c r="D56" s="164"/>
      <c r="E56" s="164"/>
      <c r="F56" s="165"/>
      <c r="G56" s="147"/>
      <c r="H56" s="138"/>
    </row>
    <row r="57" spans="2:35" ht="12" customHeight="1" x14ac:dyDescent="0.35">
      <c r="B57" s="67"/>
      <c r="C57" s="164"/>
      <c r="D57" s="164"/>
      <c r="E57" s="164"/>
      <c r="F57" s="165"/>
      <c r="G57" s="147"/>
      <c r="H57" s="138"/>
    </row>
    <row r="58" spans="2:35" ht="12" customHeight="1" x14ac:dyDescent="0.35">
      <c r="B58" s="67"/>
      <c r="C58" s="164" t="s">
        <v>94</v>
      </c>
      <c r="D58" s="164"/>
      <c r="E58" s="164"/>
      <c r="F58" s="165"/>
      <c r="G58" s="147"/>
    </row>
    <row r="59" spans="2:35" ht="12" customHeight="1" x14ac:dyDescent="0.35">
      <c r="B59" s="67"/>
      <c r="C59" s="164"/>
      <c r="D59" s="164"/>
      <c r="E59" s="164"/>
      <c r="F59" s="165"/>
      <c r="G59" s="147"/>
    </row>
    <row r="60" spans="2:35" ht="12" customHeight="1" x14ac:dyDescent="0.35">
      <c r="B60" s="67"/>
      <c r="C60" s="164"/>
      <c r="D60" s="164"/>
      <c r="E60" s="164"/>
      <c r="F60" s="165"/>
      <c r="G60" s="147"/>
    </row>
    <row r="61" spans="2:35" ht="8.5" customHeight="1" x14ac:dyDescent="0.35">
      <c r="B61" s="67"/>
      <c r="C61" s="164" t="s">
        <v>34</v>
      </c>
      <c r="D61" s="164"/>
      <c r="E61" s="164"/>
      <c r="F61" s="165"/>
      <c r="G61" s="147"/>
    </row>
    <row r="62" spans="2:35" ht="12" customHeight="1" x14ac:dyDescent="0.35">
      <c r="B62" s="67"/>
      <c r="C62" s="164"/>
      <c r="D62" s="164"/>
      <c r="E62" s="164"/>
      <c r="F62" s="165"/>
      <c r="G62" s="147"/>
    </row>
    <row r="63" spans="2:35" ht="12" customHeight="1" x14ac:dyDescent="0.35">
      <c r="B63" s="67"/>
      <c r="C63" s="164"/>
      <c r="D63" s="164"/>
      <c r="E63" s="164"/>
      <c r="F63" s="165"/>
      <c r="G63" s="147"/>
    </row>
    <row r="64" spans="2:35" ht="12" customHeight="1" x14ac:dyDescent="0.35">
      <c r="B64" s="67"/>
      <c r="C64" s="164"/>
      <c r="D64" s="164"/>
      <c r="E64" s="164"/>
      <c r="F64" s="165"/>
      <c r="G64" s="147"/>
    </row>
    <row r="65" spans="2:7" ht="12" customHeight="1" x14ac:dyDescent="0.35">
      <c r="B65" s="67"/>
      <c r="C65" s="164" t="s">
        <v>105</v>
      </c>
      <c r="D65" s="164"/>
      <c r="E65" s="164"/>
      <c r="F65" s="165"/>
      <c r="G65" s="147"/>
    </row>
    <row r="66" spans="2:7" ht="12" customHeight="1" x14ac:dyDescent="0.35">
      <c r="B66" s="67"/>
      <c r="C66" s="164"/>
      <c r="D66" s="164"/>
      <c r="E66" s="164"/>
      <c r="F66" s="165"/>
      <c r="G66" s="147"/>
    </row>
    <row r="67" spans="2:7" ht="12" customHeight="1" x14ac:dyDescent="0.35">
      <c r="B67" s="67"/>
      <c r="C67" s="164"/>
      <c r="D67" s="164"/>
      <c r="E67" s="164"/>
      <c r="F67" s="165"/>
      <c r="G67" s="147"/>
    </row>
    <row r="68" spans="2:7" ht="12" customHeight="1" x14ac:dyDescent="0.35">
      <c r="B68" s="67"/>
      <c r="C68" s="164"/>
      <c r="D68" s="164"/>
      <c r="E68" s="164"/>
      <c r="F68" s="165"/>
      <c r="G68" s="147"/>
    </row>
    <row r="69" spans="2:7" ht="12" customHeight="1" x14ac:dyDescent="0.35">
      <c r="B69" s="67"/>
      <c r="C69" s="164" t="s">
        <v>104</v>
      </c>
      <c r="D69" s="164"/>
      <c r="E69" s="164"/>
      <c r="F69" s="165"/>
      <c r="G69" s="147"/>
    </row>
    <row r="70" spans="2:7" ht="12" customHeight="1" x14ac:dyDescent="0.35">
      <c r="B70" s="67"/>
      <c r="C70" s="164"/>
      <c r="D70" s="164"/>
      <c r="E70" s="164"/>
      <c r="F70" s="165"/>
      <c r="G70" s="147"/>
    </row>
    <row r="71" spans="2:7" ht="12" customHeight="1" x14ac:dyDescent="0.35">
      <c r="B71" s="67"/>
      <c r="C71" s="164"/>
      <c r="D71" s="164"/>
      <c r="E71" s="164"/>
      <c r="F71" s="165"/>
      <c r="G71" s="147"/>
    </row>
    <row r="72" spans="2:7" ht="12" customHeight="1" x14ac:dyDescent="0.35">
      <c r="B72" s="67"/>
      <c r="C72" s="164"/>
      <c r="D72" s="164"/>
      <c r="E72" s="164"/>
      <c r="F72" s="165"/>
      <c r="G72" s="147"/>
    </row>
    <row r="73" spans="2:7" ht="12" customHeight="1" x14ac:dyDescent="0.35">
      <c r="B73" s="67"/>
      <c r="C73" s="164" t="s">
        <v>35</v>
      </c>
      <c r="D73" s="164"/>
      <c r="E73" s="164"/>
      <c r="F73" s="165"/>
      <c r="G73" s="147"/>
    </row>
    <row r="74" spans="2:7" ht="12" customHeight="1" x14ac:dyDescent="0.35">
      <c r="B74" s="67"/>
      <c r="C74" s="164"/>
      <c r="D74" s="164"/>
      <c r="E74" s="164"/>
      <c r="F74" s="165"/>
      <c r="G74" s="147"/>
    </row>
    <row r="75" spans="2:7" ht="12" customHeight="1" x14ac:dyDescent="0.35">
      <c r="B75" s="67"/>
      <c r="C75" s="164"/>
      <c r="D75" s="164"/>
      <c r="E75" s="164"/>
      <c r="F75" s="165"/>
      <c r="G75" s="147"/>
    </row>
    <row r="76" spans="2:7" ht="12" customHeight="1" thickBot="1" x14ac:dyDescent="0.4">
      <c r="B76" s="115"/>
      <c r="C76" s="166"/>
      <c r="D76" s="166"/>
      <c r="E76" s="166"/>
      <c r="F76" s="167"/>
      <c r="G76" s="148"/>
    </row>
    <row r="77" spans="2:7" ht="12" customHeight="1" x14ac:dyDescent="0.35"/>
    <row r="78" spans="2:7" ht="12" customHeight="1" x14ac:dyDescent="0.35"/>
    <row r="79" spans="2:7" ht="12" hidden="1" customHeight="1" x14ac:dyDescent="0.35"/>
    <row r="80" spans="2:7" ht="12" hidden="1" customHeight="1" x14ac:dyDescent="0.35"/>
    <row r="81" ht="12" hidden="1" customHeight="1" x14ac:dyDescent="0.35"/>
    <row r="82" ht="12" hidden="1" customHeight="1" x14ac:dyDescent="0.35"/>
    <row r="83" ht="12" hidden="1" customHeight="1" x14ac:dyDescent="0.35"/>
    <row r="84" ht="12" hidden="1" customHeight="1" x14ac:dyDescent="0.35"/>
    <row r="85" ht="12" hidden="1" customHeight="1" x14ac:dyDescent="0.35"/>
    <row r="86" ht="12" hidden="1" customHeight="1" x14ac:dyDescent="0.35"/>
    <row r="87" ht="12" hidden="1" customHeight="1" x14ac:dyDescent="0.35"/>
    <row r="88" ht="12" hidden="1" customHeight="1" x14ac:dyDescent="0.35"/>
    <row r="89" ht="12" hidden="1" customHeight="1" x14ac:dyDescent="0.35"/>
    <row r="90" ht="12" hidden="1" customHeight="1" x14ac:dyDescent="0.35"/>
    <row r="91" ht="12" hidden="1" customHeight="1" x14ac:dyDescent="0.35"/>
    <row r="92" ht="12" hidden="1" customHeight="1" x14ac:dyDescent="0.35"/>
    <row r="93" ht="12" hidden="1" customHeight="1" x14ac:dyDescent="0.35"/>
    <row r="94" ht="12" hidden="1" customHeight="1" x14ac:dyDescent="0.35"/>
    <row r="95" ht="12" hidden="1" customHeight="1" x14ac:dyDescent="0.35"/>
    <row r="96" ht="12" hidden="1" customHeight="1" x14ac:dyDescent="0.35"/>
    <row r="97" ht="12" hidden="1" customHeight="1" x14ac:dyDescent="0.35"/>
    <row r="98" ht="12" hidden="1" customHeight="1" x14ac:dyDescent="0.35"/>
    <row r="99" ht="12" hidden="1" customHeight="1" x14ac:dyDescent="0.35"/>
    <row r="100" ht="12" hidden="1" customHeight="1" x14ac:dyDescent="0.35"/>
    <row r="101" ht="12" hidden="1" customHeight="1" x14ac:dyDescent="0.35"/>
    <row r="102" ht="12" hidden="1" customHeight="1" x14ac:dyDescent="0.35"/>
    <row r="103" ht="12" hidden="1" customHeight="1" x14ac:dyDescent="0.35"/>
    <row r="104" ht="12" hidden="1" customHeight="1" x14ac:dyDescent="0.35"/>
    <row r="105" ht="12" hidden="1" customHeight="1" x14ac:dyDescent="0.35"/>
    <row r="106" ht="12" hidden="1" customHeight="1" x14ac:dyDescent="0.35"/>
    <row r="107" ht="12" hidden="1" customHeight="1" x14ac:dyDescent="0.35"/>
    <row r="108" ht="12" hidden="1" customHeight="1" x14ac:dyDescent="0.35"/>
    <row r="109" ht="12" hidden="1" customHeight="1" x14ac:dyDescent="0.35"/>
    <row r="110" ht="12" hidden="1" customHeight="1" x14ac:dyDescent="0.35"/>
    <row r="111" ht="12" hidden="1" customHeight="1" x14ac:dyDescent="0.35"/>
    <row r="112" ht="12" hidden="1" customHeight="1" x14ac:dyDescent="0.35"/>
    <row r="113" ht="12" hidden="1" customHeight="1" x14ac:dyDescent="0.35"/>
    <row r="114" ht="12" hidden="1" customHeight="1" x14ac:dyDescent="0.35"/>
    <row r="115" ht="12" hidden="1" customHeight="1" x14ac:dyDescent="0.35"/>
    <row r="116" ht="12" hidden="1" customHeight="1" x14ac:dyDescent="0.35"/>
    <row r="117" ht="12" hidden="1" customHeight="1" x14ac:dyDescent="0.35"/>
    <row r="118" ht="12" hidden="1" customHeight="1" x14ac:dyDescent="0.35"/>
    <row r="119" ht="12" hidden="1" customHeight="1" x14ac:dyDescent="0.35"/>
    <row r="120" ht="12" hidden="1" customHeight="1" x14ac:dyDescent="0.35"/>
    <row r="121" ht="12" hidden="1" customHeight="1" x14ac:dyDescent="0.35"/>
    <row r="122" ht="12" hidden="1" customHeight="1" x14ac:dyDescent="0.35"/>
    <row r="123" ht="12" hidden="1" customHeight="1" x14ac:dyDescent="0.35"/>
    <row r="124" ht="12" hidden="1" customHeight="1" x14ac:dyDescent="0.35"/>
    <row r="125" ht="12" hidden="1" customHeight="1" x14ac:dyDescent="0.35"/>
    <row r="126" ht="12" hidden="1" customHeight="1" x14ac:dyDescent="0.35"/>
    <row r="127" ht="12" hidden="1" customHeight="1" x14ac:dyDescent="0.35"/>
    <row r="128" ht="12" hidden="1" customHeight="1" x14ac:dyDescent="0.35"/>
    <row r="129" ht="12" hidden="1" customHeight="1" x14ac:dyDescent="0.35"/>
    <row r="130" ht="12" hidden="1" customHeight="1" x14ac:dyDescent="0.35"/>
    <row r="131" ht="12" hidden="1" customHeight="1" x14ac:dyDescent="0.35"/>
    <row r="132" ht="12" hidden="1" customHeight="1" x14ac:dyDescent="0.35"/>
    <row r="133" ht="12" hidden="1" customHeight="1" x14ac:dyDescent="0.35"/>
    <row r="134" ht="12" hidden="1" customHeight="1" x14ac:dyDescent="0.35"/>
    <row r="135" ht="12" hidden="1" customHeight="1" x14ac:dyDescent="0.35"/>
    <row r="136" ht="12" hidden="1" customHeight="1" x14ac:dyDescent="0.35"/>
    <row r="137" ht="12" hidden="1" customHeight="1" x14ac:dyDescent="0.35"/>
    <row r="138" ht="12" hidden="1" customHeight="1" x14ac:dyDescent="0.35"/>
    <row r="139" ht="12" hidden="1" customHeight="1" x14ac:dyDescent="0.35"/>
    <row r="140" ht="12" hidden="1" customHeight="1" x14ac:dyDescent="0.35"/>
    <row r="141" ht="12" hidden="1" customHeight="1" x14ac:dyDescent="0.35"/>
    <row r="142" ht="12" hidden="1" customHeight="1" x14ac:dyDescent="0.35"/>
    <row r="143" ht="12" hidden="1" customHeight="1" x14ac:dyDescent="0.35"/>
    <row r="144" ht="12" hidden="1" customHeight="1" x14ac:dyDescent="0.35"/>
    <row r="145" ht="12" hidden="1" customHeight="1" x14ac:dyDescent="0.35"/>
    <row r="146" ht="12" hidden="1" customHeight="1" x14ac:dyDescent="0.35"/>
    <row r="147" ht="12" hidden="1" customHeight="1" x14ac:dyDescent="0.35"/>
    <row r="148" ht="12" hidden="1" customHeight="1" x14ac:dyDescent="0.35"/>
    <row r="149" ht="12" hidden="1" customHeight="1" x14ac:dyDescent="0.35"/>
    <row r="150" ht="12" hidden="1" customHeight="1" x14ac:dyDescent="0.35"/>
    <row r="151" ht="12" hidden="1" customHeight="1" x14ac:dyDescent="0.35"/>
    <row r="152" ht="12" hidden="1" customHeight="1" x14ac:dyDescent="0.35"/>
    <row r="153" ht="12" hidden="1" customHeight="1" x14ac:dyDescent="0.35"/>
    <row r="154" ht="12" hidden="1" customHeight="1" x14ac:dyDescent="0.35"/>
    <row r="155" ht="12" hidden="1" customHeight="1" x14ac:dyDescent="0.35"/>
    <row r="156" ht="12" hidden="1" customHeight="1" x14ac:dyDescent="0.35"/>
    <row r="157" ht="12" hidden="1" customHeight="1" x14ac:dyDescent="0.35"/>
    <row r="158" ht="12" hidden="1" customHeight="1" x14ac:dyDescent="0.35"/>
    <row r="159" ht="12" hidden="1" customHeight="1" x14ac:dyDescent="0.35"/>
    <row r="160" ht="12" hidden="1" customHeight="1" x14ac:dyDescent="0.35"/>
    <row r="161" ht="12" hidden="1" customHeight="1" x14ac:dyDescent="0.35"/>
    <row r="162" ht="12" hidden="1" customHeight="1" x14ac:dyDescent="0.35"/>
    <row r="163" ht="12" hidden="1" customHeight="1" x14ac:dyDescent="0.35"/>
    <row r="164" ht="12" hidden="1" customHeight="1" x14ac:dyDescent="0.35"/>
    <row r="165" ht="12" hidden="1" customHeight="1" x14ac:dyDescent="0.35"/>
    <row r="166" ht="12" hidden="1" customHeight="1" x14ac:dyDescent="0.35"/>
    <row r="167" ht="12" hidden="1" customHeight="1" x14ac:dyDescent="0.35"/>
    <row r="168" ht="12" hidden="1" customHeight="1" x14ac:dyDescent="0.35"/>
    <row r="169" ht="12" hidden="1" customHeight="1" x14ac:dyDescent="0.35"/>
    <row r="170" ht="12" hidden="1" customHeight="1" x14ac:dyDescent="0.35"/>
    <row r="171" ht="12" hidden="1" customHeight="1" x14ac:dyDescent="0.35"/>
    <row r="172" ht="12" hidden="1" customHeight="1" x14ac:dyDescent="0.35"/>
    <row r="173" ht="12" hidden="1" customHeight="1" x14ac:dyDescent="0.35"/>
    <row r="174" ht="12" hidden="1" customHeight="1" x14ac:dyDescent="0.35"/>
    <row r="175" ht="12" hidden="1" customHeight="1" x14ac:dyDescent="0.35"/>
    <row r="176" ht="12" hidden="1" customHeight="1" x14ac:dyDescent="0.35"/>
    <row r="177" ht="12" hidden="1" customHeight="1" x14ac:dyDescent="0.35"/>
    <row r="178" ht="12" hidden="1" customHeight="1" x14ac:dyDescent="0.35"/>
    <row r="179" ht="12" hidden="1" customHeight="1" x14ac:dyDescent="0.35"/>
    <row r="180" ht="12" hidden="1" customHeight="1" x14ac:dyDescent="0.35"/>
    <row r="181" ht="12" hidden="1" customHeight="1" x14ac:dyDescent="0.35"/>
    <row r="182" ht="12" hidden="1" customHeight="1" x14ac:dyDescent="0.35"/>
    <row r="183" ht="12" hidden="1" customHeight="1" x14ac:dyDescent="0.35"/>
    <row r="184" ht="12" hidden="1" customHeight="1" x14ac:dyDescent="0.35"/>
    <row r="185" ht="12" hidden="1" customHeight="1" x14ac:dyDescent="0.35"/>
    <row r="186" ht="12" hidden="1" customHeight="1" x14ac:dyDescent="0.35"/>
    <row r="187" ht="12" hidden="1" customHeight="1" x14ac:dyDescent="0.35"/>
    <row r="188" ht="12" hidden="1" customHeight="1" x14ac:dyDescent="0.35"/>
    <row r="189" ht="12" hidden="1" customHeight="1" x14ac:dyDescent="0.35"/>
    <row r="190" ht="12" hidden="1" customHeight="1" x14ac:dyDescent="0.35"/>
    <row r="191" ht="12" hidden="1" customHeight="1" x14ac:dyDescent="0.35"/>
    <row r="192" ht="12" hidden="1" customHeight="1" x14ac:dyDescent="0.35"/>
    <row r="193" ht="12" hidden="1" customHeight="1" x14ac:dyDescent="0.35"/>
    <row r="194" ht="12" hidden="1" customHeight="1" x14ac:dyDescent="0.35"/>
    <row r="195" ht="12" hidden="1" customHeight="1" x14ac:dyDescent="0.35"/>
  </sheetData>
  <mergeCells count="133">
    <mergeCell ref="BL2:BO3"/>
    <mergeCell ref="A3:N6"/>
    <mergeCell ref="AC4:AE4"/>
    <mergeCell ref="BP4:BP6"/>
    <mergeCell ref="AC5:BB6"/>
    <mergeCell ref="G10:W11"/>
    <mergeCell ref="Y10:AI11"/>
    <mergeCell ref="AK10:BA11"/>
    <mergeCell ref="BC10:BP11"/>
    <mergeCell ref="AQ14:AR15"/>
    <mergeCell ref="AT14:BA15"/>
    <mergeCell ref="BC14:BJ15"/>
    <mergeCell ref="BL14:BL15"/>
    <mergeCell ref="BM14:BN15"/>
    <mergeCell ref="B16:E16"/>
    <mergeCell ref="G16:H16"/>
    <mergeCell ref="J16:K16"/>
    <mergeCell ref="M16:N16"/>
    <mergeCell ref="P16:Q16"/>
    <mergeCell ref="B14:E15"/>
    <mergeCell ref="G14:N15"/>
    <mergeCell ref="P14:W15"/>
    <mergeCell ref="Y14:AC15"/>
    <mergeCell ref="AE14:AI15"/>
    <mergeCell ref="AK14:AO15"/>
    <mergeCell ref="BC16:BD17"/>
    <mergeCell ref="BF16:BG16"/>
    <mergeCell ref="BI16:BJ16"/>
    <mergeCell ref="BM16:BN16"/>
    <mergeCell ref="BM17:BN17"/>
    <mergeCell ref="B18:E18"/>
    <mergeCell ref="G18:H18"/>
    <mergeCell ref="J18:K18"/>
    <mergeCell ref="M18:N18"/>
    <mergeCell ref="P18:Q18"/>
    <mergeCell ref="AK16:AL16"/>
    <mergeCell ref="AN16:AO16"/>
    <mergeCell ref="AQ16:AR16"/>
    <mergeCell ref="AT16:AU17"/>
    <mergeCell ref="AW16:AX17"/>
    <mergeCell ref="AZ16:BA17"/>
    <mergeCell ref="S16:T16"/>
    <mergeCell ref="V16:W16"/>
    <mergeCell ref="Y16:Z16"/>
    <mergeCell ref="AB16:AC16"/>
    <mergeCell ref="AE16:AF16"/>
    <mergeCell ref="AH16:AI16"/>
    <mergeCell ref="BM18:BN18"/>
    <mergeCell ref="A19:A20"/>
    <mergeCell ref="BL19:BL30"/>
    <mergeCell ref="J20:J21"/>
    <mergeCell ref="AK20:AK22"/>
    <mergeCell ref="AN20:AN22"/>
    <mergeCell ref="AQ20:AQ21"/>
    <mergeCell ref="AK18:AL18"/>
    <mergeCell ref="AN18:AO18"/>
    <mergeCell ref="AQ18:AR18"/>
    <mergeCell ref="AT18:AU18"/>
    <mergeCell ref="AW18:AX18"/>
    <mergeCell ref="AZ18:BA18"/>
    <mergeCell ref="S18:T18"/>
    <mergeCell ref="V18:W18"/>
    <mergeCell ref="Y18:Z18"/>
    <mergeCell ref="AB18:AC18"/>
    <mergeCell ref="AE18:AF18"/>
    <mergeCell ref="AH18:AI18"/>
    <mergeCell ref="AT20:AT22"/>
    <mergeCell ref="AW20:AW22"/>
    <mergeCell ref="AZ20:AZ22"/>
    <mergeCell ref="BC20:BC21"/>
    <mergeCell ref="BF20:BF21"/>
    <mergeCell ref="B22:E22"/>
    <mergeCell ref="BC18:BD18"/>
    <mergeCell ref="BF18:BG18"/>
    <mergeCell ref="BI18:BJ18"/>
    <mergeCell ref="A23:A24"/>
    <mergeCell ref="J24:J25"/>
    <mergeCell ref="BC24:BC25"/>
    <mergeCell ref="B26:E26"/>
    <mergeCell ref="A27:A28"/>
    <mergeCell ref="AQ27:AR27"/>
    <mergeCell ref="AH28:AH29"/>
    <mergeCell ref="AK28:AK30"/>
    <mergeCell ref="BC28:BC30"/>
    <mergeCell ref="BF28:BF30"/>
    <mergeCell ref="BM28:BM30"/>
    <mergeCell ref="B30:E30"/>
    <mergeCell ref="B32:E32"/>
    <mergeCell ref="G32:H32"/>
    <mergeCell ref="J32:K32"/>
    <mergeCell ref="M32:N32"/>
    <mergeCell ref="Y32:AC32"/>
    <mergeCell ref="AE32:AI32"/>
    <mergeCell ref="AK32:AL32"/>
    <mergeCell ref="AT32:AU32"/>
    <mergeCell ref="BC32:BD32"/>
    <mergeCell ref="BF32:BG32"/>
    <mergeCell ref="BL32:BM32"/>
    <mergeCell ref="B33:E33"/>
    <mergeCell ref="G33:G44"/>
    <mergeCell ref="H33:H44"/>
    <mergeCell ref="J33:J44"/>
    <mergeCell ref="K33:K44"/>
    <mergeCell ref="M33:M45"/>
    <mergeCell ref="AU33:AU35"/>
    <mergeCell ref="BD33:BD36"/>
    <mergeCell ref="BG33:BG39"/>
    <mergeCell ref="BM33:BM36"/>
    <mergeCell ref="B36:E36"/>
    <mergeCell ref="AL38:AL41"/>
    <mergeCell ref="B39:E39"/>
    <mergeCell ref="AI41:AI47"/>
    <mergeCell ref="B42:E42"/>
    <mergeCell ref="B45:E45"/>
    <mergeCell ref="N33:N45"/>
    <mergeCell ref="Y33:AB50"/>
    <mergeCell ref="AC33:AC50"/>
    <mergeCell ref="AE33:AH47"/>
    <mergeCell ref="AI33:AI40"/>
    <mergeCell ref="AL33:AL36"/>
    <mergeCell ref="C65:F68"/>
    <mergeCell ref="C69:F72"/>
    <mergeCell ref="C73:F76"/>
    <mergeCell ref="H45:H57"/>
    <mergeCell ref="AE48:AH53"/>
    <mergeCell ref="AI48:AI53"/>
    <mergeCell ref="B49:F49"/>
    <mergeCell ref="G49:G76"/>
    <mergeCell ref="C50:F51"/>
    <mergeCell ref="C52:F53"/>
    <mergeCell ref="C54:F57"/>
    <mergeCell ref="C58:F60"/>
    <mergeCell ref="C61:F64"/>
  </mergeCells>
  <pageMargins left="0.23622047244094491" right="0.23622047244094491" top="0.74803149606299213" bottom="0.74803149606299213" header="0.31496062992125984" footer="0.31496062992125984"/>
  <pageSetup paperSize="8" scale="2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Estrutura OFICINA</vt:lpstr>
      <vt:lpstr>Estrutura OFICINA - REDUÇÃO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Nelson Firmino do Nascimento Jr</dc:creator>
  <cp:lastModifiedBy>Adriano Rafael Bressiano</cp:lastModifiedBy>
  <cp:lastPrinted>2026-06-04T16:12:48Z</cp:lastPrinted>
  <dcterms:created xsi:type="dcterms:W3CDTF">2019-04-04T16:52:54Z</dcterms:created>
  <dcterms:modified xsi:type="dcterms:W3CDTF">2026-06-04T16:50:59Z</dcterms:modified>
</cp:coreProperties>
</file>